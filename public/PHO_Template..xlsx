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0f2bb7c0a9e89d7b/Desktop/RABIES/"/>
    </mc:Choice>
  </mc:AlternateContent>
  <xr:revisionPtr revIDLastSave="133" documentId="13_ncr:1_{D542700C-4630-450B-80D1-6CB6721A19C9}" xr6:coauthVersionLast="47" xr6:coauthVersionMax="47" xr10:uidLastSave="{CBAFD7A5-ABEA-452F-9276-1B029BC7E9DF}"/>
  <bookViews>
    <workbookView xWindow="-120" yWindow="-120" windowWidth="29040" windowHeight="15720" firstSheet="1" activeTab="1" xr2:uid="{00000000-000D-0000-FFFF-FFFF00000000}"/>
  </bookViews>
  <sheets>
    <sheet name="Template" sheetId="7" r:id="rId1"/>
    <sheet name="Quarter 1" sheetId="8" r:id="rId2"/>
    <sheet name="Quarter 2" sheetId="2" r:id="rId3"/>
    <sheet name="Quarter 3" sheetId="3" r:id="rId4"/>
    <sheet name="Quarter 4" sheetId="4" r:id="rId5"/>
    <sheet name="Summary" sheetId="5" r:id="rId6"/>
    <sheet name="(DRAFT MFT) Animal Bite and Rab" sheetId="6" state="hidden"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gGi6G6Hpou3kYCO6rUUyoMDMC76p2ZfALE/hjbbHFD8="/>
    </ext>
  </extLst>
</workbook>
</file>

<file path=xl/calcChain.xml><?xml version="1.0" encoding="utf-8"?>
<calcChain xmlns="http://schemas.openxmlformats.org/spreadsheetml/2006/main">
  <c r="C38" i="8" l="1"/>
  <c r="AN36" i="8"/>
  <c r="AO36" i="8" s="1"/>
  <c r="AL36" i="8"/>
  <c r="AK36" i="8"/>
  <c r="AJ36" i="8"/>
  <c r="AI36" i="8"/>
  <c r="AH36" i="8"/>
  <c r="AG36" i="8"/>
  <c r="AA36" i="8"/>
  <c r="Y36" i="8"/>
  <c r="X36" i="8"/>
  <c r="W36" i="8"/>
  <c r="V36" i="8"/>
  <c r="R36" i="8"/>
  <c r="P36" i="8"/>
  <c r="O36" i="8"/>
  <c r="M36" i="8"/>
  <c r="K36" i="8"/>
  <c r="J36" i="8"/>
  <c r="I36" i="8"/>
  <c r="G36" i="8"/>
  <c r="F36" i="8"/>
  <c r="D36" i="8"/>
  <c r="C36" i="8"/>
  <c r="B36" i="8"/>
  <c r="AO35" i="8"/>
  <c r="AM35" i="8"/>
  <c r="AE35" i="8"/>
  <c r="AC35" i="8"/>
  <c r="AB35" i="8"/>
  <c r="Z35" i="8"/>
  <c r="AD35" i="8" s="1"/>
  <c r="T35" i="8"/>
  <c r="S35" i="8"/>
  <c r="Q35" i="8"/>
  <c r="N35" i="8"/>
  <c r="U35" i="8" s="1"/>
  <c r="L35" i="8"/>
  <c r="H35" i="8"/>
  <c r="E35" i="8"/>
  <c r="AO34" i="8"/>
  <c r="AM34" i="8"/>
  <c r="AF34" i="8"/>
  <c r="AE34" i="8"/>
  <c r="AD34" i="8"/>
  <c r="AC34" i="8"/>
  <c r="AB34" i="8"/>
  <c r="Z34" i="8"/>
  <c r="T34" i="8"/>
  <c r="Q34" i="8"/>
  <c r="S34" i="8" s="1"/>
  <c r="N34" i="8"/>
  <c r="U34" i="8" s="1"/>
  <c r="L34" i="8"/>
  <c r="H34" i="8"/>
  <c r="E34" i="8"/>
  <c r="AO33" i="8"/>
  <c r="AM33" i="8"/>
  <c r="AE33" i="8"/>
  <c r="AD33" i="8"/>
  <c r="AC33" i="8"/>
  <c r="AB33" i="8"/>
  <c r="Z33" i="8"/>
  <c r="T33" i="8"/>
  <c r="S33" i="8"/>
  <c r="U33" i="8" s="1"/>
  <c r="Q33" i="8"/>
  <c r="AF33" i="8" s="1"/>
  <c r="N33" i="8"/>
  <c r="L33" i="8"/>
  <c r="H33" i="8"/>
  <c r="E33" i="8"/>
  <c r="N36" i="8"/>
  <c r="C38" i="7"/>
  <c r="AN36" i="7"/>
  <c r="AL36" i="7"/>
  <c r="AK36" i="7"/>
  <c r="AJ36" i="7"/>
  <c r="AI36" i="7"/>
  <c r="AH36" i="7"/>
  <c r="AG36" i="7"/>
  <c r="AE36" i="7"/>
  <c r="AC36" i="7"/>
  <c r="AB36" i="7"/>
  <c r="AA36" i="7"/>
  <c r="Y36" i="7"/>
  <c r="X36" i="7"/>
  <c r="W36" i="7"/>
  <c r="V36" i="7"/>
  <c r="R36" i="7"/>
  <c r="P36" i="7"/>
  <c r="O36" i="7"/>
  <c r="M36" i="7"/>
  <c r="K36" i="7"/>
  <c r="J36" i="7"/>
  <c r="I36" i="7"/>
  <c r="G36" i="7"/>
  <c r="F36" i="7"/>
  <c r="D36" i="7"/>
  <c r="C36" i="7"/>
  <c r="B36" i="7"/>
  <c r="AO36" i="7" s="1"/>
  <c r="AO35" i="7"/>
  <c r="AM35" i="7"/>
  <c r="AE35" i="7"/>
  <c r="AD35" i="7"/>
  <c r="AC35" i="7"/>
  <c r="AB35" i="7"/>
  <c r="Z35" i="7"/>
  <c r="AF35" i="7" s="1"/>
  <c r="U35" i="7"/>
  <c r="T35" i="7"/>
  <c r="S35" i="7"/>
  <c r="Q35" i="7"/>
  <c r="N35" i="7"/>
  <c r="L35" i="7"/>
  <c r="H35" i="7"/>
  <c r="E35" i="7"/>
  <c r="AO34" i="7"/>
  <c r="AM34" i="7"/>
  <c r="AF34" i="7"/>
  <c r="AE34" i="7"/>
  <c r="AD34" i="7"/>
  <c r="AC34" i="7"/>
  <c r="AB34" i="7"/>
  <c r="Z34" i="7"/>
  <c r="T34" i="7"/>
  <c r="S34" i="7"/>
  <c r="Q34" i="7"/>
  <c r="N34" i="7"/>
  <c r="U34" i="7" s="1"/>
  <c r="L34" i="7"/>
  <c r="H34" i="7"/>
  <c r="E34" i="7"/>
  <c r="AO33" i="7"/>
  <c r="AM33" i="7"/>
  <c r="AF33" i="7"/>
  <c r="AE33" i="7"/>
  <c r="AC33" i="7"/>
  <c r="AB33" i="7"/>
  <c r="Z33" i="7"/>
  <c r="AD33" i="7" s="1"/>
  <c r="U33" i="7"/>
  <c r="T33" i="7"/>
  <c r="S33" i="7"/>
  <c r="Q33" i="7"/>
  <c r="N33" i="7"/>
  <c r="L33" i="7"/>
  <c r="H33" i="7"/>
  <c r="E33" i="7"/>
  <c r="AO32" i="7"/>
  <c r="AM32" i="7"/>
  <c r="AE32" i="7"/>
  <c r="AD32" i="7"/>
  <c r="AC32" i="7"/>
  <c r="AB32" i="7"/>
  <c r="Z32" i="7"/>
  <c r="AF32" i="7" s="1"/>
  <c r="T32" i="7"/>
  <c r="S32" i="7"/>
  <c r="U32" i="7" s="1"/>
  <c r="Q32" i="7"/>
  <c r="N32" i="7"/>
  <c r="L32" i="7"/>
  <c r="H32" i="7"/>
  <c r="E32" i="7"/>
  <c r="AO31" i="7"/>
  <c r="AM31" i="7"/>
  <c r="AF31" i="7"/>
  <c r="AE31" i="7"/>
  <c r="AD31" i="7"/>
  <c r="AC31" i="7"/>
  <c r="AB31" i="7"/>
  <c r="Z31" i="7"/>
  <c r="T31" i="7"/>
  <c r="S31" i="7"/>
  <c r="Q31" i="7"/>
  <c r="N31" i="7"/>
  <c r="U31" i="7" s="1"/>
  <c r="L31" i="7"/>
  <c r="H31" i="7"/>
  <c r="E31" i="7"/>
  <c r="AO30" i="7"/>
  <c r="AM30" i="7"/>
  <c r="AF30" i="7"/>
  <c r="AE30" i="7"/>
  <c r="AD30" i="7"/>
  <c r="AC30" i="7"/>
  <c r="AB30" i="7"/>
  <c r="Z30" i="7"/>
  <c r="U30" i="7"/>
  <c r="T30" i="7"/>
  <c r="S30" i="7"/>
  <c r="Q30" i="7"/>
  <c r="N30" i="7"/>
  <c r="L30" i="7"/>
  <c r="H30" i="7"/>
  <c r="E30" i="7"/>
  <c r="AO29" i="7"/>
  <c r="AM29" i="7"/>
  <c r="AE29" i="7"/>
  <c r="AD29" i="7"/>
  <c r="AC29" i="7"/>
  <c r="AB29" i="7"/>
  <c r="Z29" i="7"/>
  <c r="AF29" i="7" s="1"/>
  <c r="U29" i="7"/>
  <c r="T29" i="7"/>
  <c r="S29" i="7"/>
  <c r="Q29" i="7"/>
  <c r="N29" i="7"/>
  <c r="L29" i="7"/>
  <c r="H29" i="7"/>
  <c r="E29" i="7"/>
  <c r="AO28" i="7"/>
  <c r="AM28" i="7"/>
  <c r="AF28" i="7"/>
  <c r="AE28" i="7"/>
  <c r="AD28" i="7"/>
  <c r="AC28" i="7"/>
  <c r="AB28" i="7"/>
  <c r="Z28" i="7"/>
  <c r="T28" i="7"/>
  <c r="Q28" i="7"/>
  <c r="S28" i="7" s="1"/>
  <c r="N28" i="7"/>
  <c r="U28" i="7" s="1"/>
  <c r="L28" i="7"/>
  <c r="H28" i="7"/>
  <c r="E28" i="7"/>
  <c r="AO27" i="7"/>
  <c r="AM27" i="7"/>
  <c r="AF27" i="7"/>
  <c r="AE27" i="7"/>
  <c r="AC27" i="7"/>
  <c r="AB27" i="7"/>
  <c r="Z27" i="7"/>
  <c r="AD27" i="7" s="1"/>
  <c r="U27" i="7"/>
  <c r="T27" i="7"/>
  <c r="S27" i="7"/>
  <c r="Q27" i="7"/>
  <c r="N27" i="7"/>
  <c r="L27" i="7"/>
  <c r="H27" i="7"/>
  <c r="E27" i="7"/>
  <c r="AO26" i="7"/>
  <c r="AM26" i="7"/>
  <c r="AE26" i="7"/>
  <c r="AD26" i="7"/>
  <c r="AC26" i="7"/>
  <c r="AB26" i="7"/>
  <c r="Z26" i="7"/>
  <c r="AF26" i="7" s="1"/>
  <c r="T26" i="7"/>
  <c r="S26" i="7"/>
  <c r="U26" i="7" s="1"/>
  <c r="Q26" i="7"/>
  <c r="N26" i="7"/>
  <c r="L26" i="7"/>
  <c r="H26" i="7"/>
  <c r="E26" i="7"/>
  <c r="AO25" i="7"/>
  <c r="AM25" i="7"/>
  <c r="AF25" i="7"/>
  <c r="AE25" i="7"/>
  <c r="AD25" i="7"/>
  <c r="AC25" i="7"/>
  <c r="AB25" i="7"/>
  <c r="Z25" i="7"/>
  <c r="T25" i="7"/>
  <c r="Q25" i="7"/>
  <c r="S25" i="7" s="1"/>
  <c r="N25" i="7"/>
  <c r="L25" i="7"/>
  <c r="H25" i="7"/>
  <c r="E25" i="7"/>
  <c r="AO24" i="7"/>
  <c r="AM24" i="7"/>
  <c r="AF24" i="7"/>
  <c r="AE24" i="7"/>
  <c r="AC24" i="7"/>
  <c r="AB24" i="7"/>
  <c r="Z24" i="7"/>
  <c r="AD24" i="7" s="1"/>
  <c r="U24" i="7"/>
  <c r="T24" i="7"/>
  <c r="S24" i="7"/>
  <c r="Q24" i="7"/>
  <c r="N24" i="7"/>
  <c r="L24" i="7"/>
  <c r="H24" i="7"/>
  <c r="E24" i="7"/>
  <c r="AO23" i="7"/>
  <c r="AM23" i="7"/>
  <c r="AE23" i="7"/>
  <c r="AD23" i="7"/>
  <c r="AC23" i="7"/>
  <c r="AB23" i="7"/>
  <c r="Z23" i="7"/>
  <c r="AF23" i="7" s="1"/>
  <c r="T23" i="7"/>
  <c r="S23" i="7"/>
  <c r="U23" i="7" s="1"/>
  <c r="Q23" i="7"/>
  <c r="N23" i="7"/>
  <c r="L23" i="7"/>
  <c r="H23" i="7"/>
  <c r="E23" i="7"/>
  <c r="AO22" i="7"/>
  <c r="AM22" i="7"/>
  <c r="AF22" i="7"/>
  <c r="AE22" i="7"/>
  <c r="AD22" i="7"/>
  <c r="AC22" i="7"/>
  <c r="AB22" i="7"/>
  <c r="Z22" i="7"/>
  <c r="T22" i="7"/>
  <c r="S22" i="7"/>
  <c r="Q22" i="7"/>
  <c r="N22" i="7"/>
  <c r="U22" i="7" s="1"/>
  <c r="L22" i="7"/>
  <c r="H22" i="7"/>
  <c r="E22" i="7"/>
  <c r="AO21" i="7"/>
  <c r="AM21" i="7"/>
  <c r="AF21" i="7"/>
  <c r="AE21" i="7"/>
  <c r="AC21" i="7"/>
  <c r="AB21" i="7"/>
  <c r="Z21" i="7"/>
  <c r="AD21" i="7" s="1"/>
  <c r="U21" i="7"/>
  <c r="T21" i="7"/>
  <c r="S21" i="7"/>
  <c r="Q21" i="7"/>
  <c r="N21" i="7"/>
  <c r="L21" i="7"/>
  <c r="H21" i="7"/>
  <c r="E21" i="7"/>
  <c r="AO20" i="7"/>
  <c r="AM20" i="7"/>
  <c r="AE20" i="7"/>
  <c r="AD20" i="7"/>
  <c r="AC20" i="7"/>
  <c r="AB20" i="7"/>
  <c r="Z20" i="7"/>
  <c r="AF20" i="7" s="1"/>
  <c r="T20" i="7"/>
  <c r="S20" i="7"/>
  <c r="U20" i="7" s="1"/>
  <c r="Q20" i="7"/>
  <c r="N20" i="7"/>
  <c r="L20" i="7"/>
  <c r="H20" i="7"/>
  <c r="E20" i="7"/>
  <c r="AO19" i="7"/>
  <c r="AM19" i="7"/>
  <c r="AF19" i="7"/>
  <c r="AE19" i="7"/>
  <c r="AD19" i="7"/>
  <c r="AC19" i="7"/>
  <c r="AB19" i="7"/>
  <c r="Z19" i="7"/>
  <c r="T19" i="7"/>
  <c r="Q19" i="7"/>
  <c r="S19" i="7" s="1"/>
  <c r="N19" i="7"/>
  <c r="U19" i="7" s="1"/>
  <c r="L19" i="7"/>
  <c r="H19" i="7"/>
  <c r="E19" i="7"/>
  <c r="AO18" i="7"/>
  <c r="AM18" i="7"/>
  <c r="AF18" i="7"/>
  <c r="AE18" i="7"/>
  <c r="AC18" i="7"/>
  <c r="AB18" i="7"/>
  <c r="Z18" i="7"/>
  <c r="AD18" i="7" s="1"/>
  <c r="U18" i="7"/>
  <c r="T18" i="7"/>
  <c r="S18" i="7"/>
  <c r="Q18" i="7"/>
  <c r="N18" i="7"/>
  <c r="L18" i="7"/>
  <c r="H18" i="7"/>
  <c r="E18" i="7"/>
  <c r="E36" i="7" s="1"/>
  <c r="AO17" i="7"/>
  <c r="AM17" i="7"/>
  <c r="AE17" i="7"/>
  <c r="AD17" i="7"/>
  <c r="AC17" i="7"/>
  <c r="AB17" i="7"/>
  <c r="Z17" i="7"/>
  <c r="T17" i="7"/>
  <c r="S17" i="7"/>
  <c r="U17" i="7" s="1"/>
  <c r="Q17" i="7"/>
  <c r="Q36" i="7" s="1"/>
  <c r="N17" i="7"/>
  <c r="L17" i="7"/>
  <c r="AF17" i="7" s="1"/>
  <c r="H17" i="7"/>
  <c r="E17" i="7"/>
  <c r="AO16" i="7"/>
  <c r="AM16" i="7"/>
  <c r="AM36" i="7" s="1"/>
  <c r="AF16" i="7"/>
  <c r="AE16" i="7"/>
  <c r="AD16" i="7"/>
  <c r="AC16" i="7"/>
  <c r="AB16" i="7"/>
  <c r="Z16" i="7"/>
  <c r="Z36" i="7" s="1"/>
  <c r="T16" i="7"/>
  <c r="T36" i="7" s="1"/>
  <c r="Q16" i="7"/>
  <c r="S16" i="7" s="1"/>
  <c r="N16" i="7"/>
  <c r="N36" i="7" s="1"/>
  <c r="L16" i="7"/>
  <c r="L36" i="7" s="1"/>
  <c r="H16" i="7"/>
  <c r="H36" i="7" s="1"/>
  <c r="E16" i="7"/>
  <c r="C39" i="6"/>
  <c r="BN37" i="6"/>
  <c r="BI37" i="6"/>
  <c r="BH37" i="6"/>
  <c r="BA37" i="6"/>
  <c r="BE37" i="6" s="1"/>
  <c r="AZ37" i="6"/>
  <c r="AX37" i="6"/>
  <c r="AW37" i="6"/>
  <c r="AU37" i="6"/>
  <c r="AT37" i="6"/>
  <c r="AR37" i="6"/>
  <c r="AQ37" i="6"/>
  <c r="AO37" i="6"/>
  <c r="AN37" i="6"/>
  <c r="AG37" i="6"/>
  <c r="AF37" i="6"/>
  <c r="AC37" i="6"/>
  <c r="AB37" i="6"/>
  <c r="Z37" i="6"/>
  <c r="Y37" i="6"/>
  <c r="T37" i="6"/>
  <c r="S37" i="6"/>
  <c r="P37" i="6"/>
  <c r="O37" i="6"/>
  <c r="M37" i="6"/>
  <c r="L37" i="6"/>
  <c r="J37" i="6"/>
  <c r="I37" i="6"/>
  <c r="G37" i="6"/>
  <c r="F37" i="6"/>
  <c r="D37" i="6"/>
  <c r="C37" i="6"/>
  <c r="B37" i="6"/>
  <c r="BO36" i="6"/>
  <c r="BM36" i="6"/>
  <c r="BE36" i="6"/>
  <c r="AZ36" i="6"/>
  <c r="AS36" i="6"/>
  <c r="BC36" i="6" s="1"/>
  <c r="AP36" i="6"/>
  <c r="BB36" i="6" s="1"/>
  <c r="AJ36" i="6"/>
  <c r="AI36" i="6"/>
  <c r="AH36" i="6"/>
  <c r="AD36" i="6"/>
  <c r="AE36" i="6" s="1"/>
  <c r="AA36" i="6"/>
  <c r="W36" i="6"/>
  <c r="V36" i="6"/>
  <c r="U36" i="6"/>
  <c r="Q36" i="6"/>
  <c r="AL36" i="6" s="1"/>
  <c r="N36" i="6"/>
  <c r="R36" i="6" s="1"/>
  <c r="X36" i="6" s="1"/>
  <c r="K36" i="6"/>
  <c r="H36" i="6"/>
  <c r="E36" i="6"/>
  <c r="BO35" i="6"/>
  <c r="BM35" i="6"/>
  <c r="BG35" i="6"/>
  <c r="BE35" i="6"/>
  <c r="AZ35" i="6"/>
  <c r="BD35" i="6" s="1"/>
  <c r="AS35" i="6"/>
  <c r="AP35" i="6"/>
  <c r="AJ35" i="6"/>
  <c r="AI35" i="6"/>
  <c r="AH35" i="6"/>
  <c r="AD35" i="6"/>
  <c r="AA35" i="6"/>
  <c r="W35" i="6"/>
  <c r="V35" i="6"/>
  <c r="U35" i="6"/>
  <c r="Q35" i="6"/>
  <c r="AL35" i="6" s="1"/>
  <c r="N35" i="6"/>
  <c r="K35" i="6"/>
  <c r="H35" i="6"/>
  <c r="E35" i="6"/>
  <c r="BO34" i="6"/>
  <c r="BM34" i="6"/>
  <c r="BE34" i="6"/>
  <c r="BD34" i="6"/>
  <c r="BC34" i="6"/>
  <c r="AZ34" i="6"/>
  <c r="BG34" i="6" s="1"/>
  <c r="AS34" i="6"/>
  <c r="AP34" i="6"/>
  <c r="BB34" i="6" s="1"/>
  <c r="AJ34" i="6"/>
  <c r="AI34" i="6"/>
  <c r="AH34" i="6"/>
  <c r="AD34" i="6"/>
  <c r="AA34" i="6"/>
  <c r="AE34" i="6" s="1"/>
  <c r="AK34" i="6" s="1"/>
  <c r="X34" i="6"/>
  <c r="W34" i="6"/>
  <c r="V34" i="6"/>
  <c r="U34" i="6"/>
  <c r="R34" i="6"/>
  <c r="Q34" i="6"/>
  <c r="AL34" i="6" s="1"/>
  <c r="N34" i="6"/>
  <c r="K34" i="6"/>
  <c r="H34" i="6"/>
  <c r="E34" i="6"/>
  <c r="BO33" i="6"/>
  <c r="BM33" i="6"/>
  <c r="BE33" i="6"/>
  <c r="BD33" i="6"/>
  <c r="BC33" i="6"/>
  <c r="BB33" i="6"/>
  <c r="AZ33" i="6"/>
  <c r="BG33" i="6" s="1"/>
  <c r="AS33" i="6"/>
  <c r="AP33" i="6"/>
  <c r="AL33" i="6"/>
  <c r="AJ33" i="6"/>
  <c r="AI33" i="6"/>
  <c r="AH33" i="6"/>
  <c r="AD33" i="6"/>
  <c r="AA33" i="6"/>
  <c r="W33" i="6"/>
  <c r="V33" i="6"/>
  <c r="U33" i="6"/>
  <c r="Q33" i="6"/>
  <c r="N33" i="6"/>
  <c r="R33" i="6" s="1"/>
  <c r="X33" i="6" s="1"/>
  <c r="K33" i="6"/>
  <c r="H33" i="6"/>
  <c r="E33" i="6"/>
  <c r="BO32" i="6"/>
  <c r="BM32" i="6"/>
  <c r="BE32" i="6"/>
  <c r="BB32" i="6"/>
  <c r="AZ32" i="6"/>
  <c r="AS32" i="6"/>
  <c r="AP32" i="6"/>
  <c r="AJ32" i="6"/>
  <c r="AI32" i="6"/>
  <c r="AH32" i="6"/>
  <c r="AD32" i="6"/>
  <c r="AA32" i="6"/>
  <c r="W32" i="6"/>
  <c r="V32" i="6"/>
  <c r="U32" i="6"/>
  <c r="R32" i="6"/>
  <c r="X32" i="6" s="1"/>
  <c r="Q32" i="6"/>
  <c r="AL32" i="6" s="1"/>
  <c r="N32" i="6"/>
  <c r="K32" i="6"/>
  <c r="H32" i="6"/>
  <c r="E32" i="6"/>
  <c r="BO31" i="6"/>
  <c r="BM31" i="6"/>
  <c r="BE31" i="6"/>
  <c r="AZ31" i="6"/>
  <c r="BD31" i="6" s="1"/>
  <c r="AS31" i="6"/>
  <c r="BC31" i="6" s="1"/>
  <c r="AP31" i="6"/>
  <c r="AJ31" i="6"/>
  <c r="AI31" i="6"/>
  <c r="AH31" i="6"/>
  <c r="AD31" i="6"/>
  <c r="AA31" i="6"/>
  <c r="W31" i="6"/>
  <c r="V31" i="6"/>
  <c r="U31" i="6"/>
  <c r="Q31" i="6"/>
  <c r="AL31" i="6" s="1"/>
  <c r="N31" i="6"/>
  <c r="K31" i="6"/>
  <c r="H31" i="6"/>
  <c r="E31" i="6"/>
  <c r="BO30" i="6"/>
  <c r="BM30" i="6"/>
  <c r="BE30" i="6"/>
  <c r="BD30" i="6"/>
  <c r="AZ30" i="6"/>
  <c r="BG30" i="6" s="1"/>
  <c r="AS30" i="6"/>
  <c r="BC30" i="6" s="1"/>
  <c r="AP30" i="6"/>
  <c r="BB30" i="6" s="1"/>
  <c r="AL30" i="6"/>
  <c r="AJ30" i="6"/>
  <c r="AI30" i="6"/>
  <c r="AH30" i="6"/>
  <c r="AD30" i="6"/>
  <c r="AA30" i="6"/>
  <c r="AE30" i="6" s="1"/>
  <c r="W30" i="6"/>
  <c r="V30" i="6"/>
  <c r="U30" i="6"/>
  <c r="Q30" i="6"/>
  <c r="N30" i="6"/>
  <c r="R30" i="6" s="1"/>
  <c r="BF30" i="6" s="1"/>
  <c r="K30" i="6"/>
  <c r="H30" i="6"/>
  <c r="E30" i="6"/>
  <c r="BO29" i="6"/>
  <c r="BM29" i="6"/>
  <c r="BE29" i="6"/>
  <c r="AZ29" i="6"/>
  <c r="BG29" i="6" s="1"/>
  <c r="AS29" i="6"/>
  <c r="BC29" i="6" s="1"/>
  <c r="AP29" i="6"/>
  <c r="AL29" i="6"/>
  <c r="AJ29" i="6"/>
  <c r="AI29" i="6"/>
  <c r="AH29" i="6"/>
  <c r="AD29" i="6"/>
  <c r="AA29" i="6"/>
  <c r="W29" i="6"/>
  <c r="V29" i="6"/>
  <c r="U29" i="6"/>
  <c r="Q29" i="6"/>
  <c r="N29" i="6"/>
  <c r="R29" i="6" s="1"/>
  <c r="X29" i="6" s="1"/>
  <c r="K29" i="6"/>
  <c r="H29" i="6"/>
  <c r="E29" i="6"/>
  <c r="BO28" i="6"/>
  <c r="BM28" i="6"/>
  <c r="BE28" i="6"/>
  <c r="AZ28" i="6"/>
  <c r="AS28" i="6"/>
  <c r="BC28" i="6" s="1"/>
  <c r="AP28" i="6"/>
  <c r="BB28" i="6" s="1"/>
  <c r="AJ28" i="6"/>
  <c r="AI28" i="6"/>
  <c r="AH28" i="6"/>
  <c r="AD28" i="6"/>
  <c r="AE28" i="6" s="1"/>
  <c r="AA28" i="6"/>
  <c r="W28" i="6"/>
  <c r="V28" i="6"/>
  <c r="U28" i="6"/>
  <c r="R28" i="6"/>
  <c r="X28" i="6" s="1"/>
  <c r="Q28" i="6"/>
  <c r="AL28" i="6" s="1"/>
  <c r="N28" i="6"/>
  <c r="K28" i="6"/>
  <c r="H28" i="6"/>
  <c r="E28" i="6"/>
  <c r="BO27" i="6"/>
  <c r="BM27" i="6"/>
  <c r="BG27" i="6"/>
  <c r="BE27" i="6"/>
  <c r="AZ27" i="6"/>
  <c r="BD27" i="6" s="1"/>
  <c r="AS27" i="6"/>
  <c r="AP27" i="6"/>
  <c r="AJ27" i="6"/>
  <c r="AI27" i="6"/>
  <c r="AH27" i="6"/>
  <c r="AD27" i="6"/>
  <c r="AA27" i="6"/>
  <c r="AE27" i="6" s="1"/>
  <c r="AK27" i="6" s="1"/>
  <c r="W27" i="6"/>
  <c r="V27" i="6"/>
  <c r="U27" i="6"/>
  <c r="Q27" i="6"/>
  <c r="AL27" i="6" s="1"/>
  <c r="N27" i="6"/>
  <c r="K27" i="6"/>
  <c r="H27" i="6"/>
  <c r="E27" i="6"/>
  <c r="BO26" i="6"/>
  <c r="BM26" i="6"/>
  <c r="BE26" i="6"/>
  <c r="BD26" i="6"/>
  <c r="BC26" i="6"/>
  <c r="AZ26" i="6"/>
  <c r="BG26" i="6" s="1"/>
  <c r="AS26" i="6"/>
  <c r="AP26" i="6"/>
  <c r="BB26" i="6" s="1"/>
  <c r="AL26" i="6"/>
  <c r="AJ26" i="6"/>
  <c r="AI26" i="6"/>
  <c r="AH26" i="6"/>
  <c r="AD26" i="6"/>
  <c r="AA26" i="6"/>
  <c r="AE26" i="6" s="1"/>
  <c r="AK26" i="6" s="1"/>
  <c r="W26" i="6"/>
  <c r="V26" i="6"/>
  <c r="U26" i="6"/>
  <c r="Q26" i="6"/>
  <c r="N26" i="6"/>
  <c r="R26" i="6" s="1"/>
  <c r="K26" i="6"/>
  <c r="H26" i="6"/>
  <c r="E26" i="6"/>
  <c r="BO25" i="6"/>
  <c r="BM25" i="6"/>
  <c r="BE25" i="6"/>
  <c r="BD25" i="6"/>
  <c r="BC25" i="6"/>
  <c r="BB25" i="6"/>
  <c r="AZ25" i="6"/>
  <c r="BG25" i="6" s="1"/>
  <c r="AS25" i="6"/>
  <c r="AP25" i="6"/>
  <c r="AJ25" i="6"/>
  <c r="AI25" i="6"/>
  <c r="AH25" i="6"/>
  <c r="AD25" i="6"/>
  <c r="AA25" i="6"/>
  <c r="W25" i="6"/>
  <c r="V25" i="6"/>
  <c r="U25" i="6"/>
  <c r="Q25" i="6"/>
  <c r="AL25" i="6" s="1"/>
  <c r="N25" i="6"/>
  <c r="R25" i="6" s="1"/>
  <c r="X25" i="6" s="1"/>
  <c r="K25" i="6"/>
  <c r="H25" i="6"/>
  <c r="E25" i="6"/>
  <c r="BO24" i="6"/>
  <c r="BM24" i="6"/>
  <c r="BE24" i="6"/>
  <c r="BB24" i="6"/>
  <c r="AZ24" i="6"/>
  <c r="AS24" i="6"/>
  <c r="AP24" i="6"/>
  <c r="AJ24" i="6"/>
  <c r="AI24" i="6"/>
  <c r="AH24" i="6"/>
  <c r="AD24" i="6"/>
  <c r="AA24" i="6"/>
  <c r="W24" i="6"/>
  <c r="V24" i="6"/>
  <c r="U24" i="6"/>
  <c r="R24" i="6"/>
  <c r="Q24" i="6"/>
  <c r="AL24" i="6" s="1"/>
  <c r="N24" i="6"/>
  <c r="K24" i="6"/>
  <c r="H24" i="6"/>
  <c r="E24" i="6"/>
  <c r="BO23" i="6"/>
  <c r="BM23" i="6"/>
  <c r="BE23" i="6"/>
  <c r="AZ23" i="6"/>
  <c r="BD23" i="6" s="1"/>
  <c r="AS23" i="6"/>
  <c r="BC23" i="6" s="1"/>
  <c r="AP23" i="6"/>
  <c r="AJ23" i="6"/>
  <c r="AI23" i="6"/>
  <c r="AH23" i="6"/>
  <c r="AE23" i="6"/>
  <c r="AK23" i="6" s="1"/>
  <c r="AD23" i="6"/>
  <c r="AA23" i="6"/>
  <c r="W23" i="6"/>
  <c r="V23" i="6"/>
  <c r="U23" i="6"/>
  <c r="Q23" i="6"/>
  <c r="AL23" i="6" s="1"/>
  <c r="N23" i="6"/>
  <c r="K23" i="6"/>
  <c r="H23" i="6"/>
  <c r="E23" i="6"/>
  <c r="BO22" i="6"/>
  <c r="BM22" i="6"/>
  <c r="BE22" i="6"/>
  <c r="AZ22" i="6"/>
  <c r="BG22" i="6" s="1"/>
  <c r="AS22" i="6"/>
  <c r="BC22" i="6" s="1"/>
  <c r="AP22" i="6"/>
  <c r="BB22" i="6" s="1"/>
  <c r="AJ22" i="6"/>
  <c r="AI22" i="6"/>
  <c r="AH22" i="6"/>
  <c r="AD22" i="6"/>
  <c r="AA22" i="6"/>
  <c r="W22" i="6"/>
  <c r="V22" i="6"/>
  <c r="U22" i="6"/>
  <c r="Q22" i="6"/>
  <c r="AL22" i="6" s="1"/>
  <c r="N22" i="6"/>
  <c r="R22" i="6" s="1"/>
  <c r="X22" i="6" s="1"/>
  <c r="K22" i="6"/>
  <c r="H22" i="6"/>
  <c r="E22" i="6"/>
  <c r="BO21" i="6"/>
  <c r="BM21" i="6"/>
  <c r="BE21" i="6"/>
  <c r="AZ21" i="6"/>
  <c r="BG21" i="6" s="1"/>
  <c r="AS21" i="6"/>
  <c r="BC21" i="6" s="1"/>
  <c r="AP21" i="6"/>
  <c r="BB21" i="6" s="1"/>
  <c r="AL21" i="6"/>
  <c r="AJ21" i="6"/>
  <c r="AI21" i="6"/>
  <c r="AH21" i="6"/>
  <c r="AD21" i="6"/>
  <c r="AA21" i="6"/>
  <c r="W21" i="6"/>
  <c r="V21" i="6"/>
  <c r="U21" i="6"/>
  <c r="Q21" i="6"/>
  <c r="N21" i="6"/>
  <c r="R21" i="6" s="1"/>
  <c r="X21" i="6" s="1"/>
  <c r="K21" i="6"/>
  <c r="H21" i="6"/>
  <c r="E21" i="6"/>
  <c r="BO20" i="6"/>
  <c r="BM20" i="6"/>
  <c r="BE20" i="6"/>
  <c r="AZ20" i="6"/>
  <c r="AS20" i="6"/>
  <c r="BC20" i="6" s="1"/>
  <c r="AP20" i="6"/>
  <c r="BB20" i="6" s="1"/>
  <c r="AJ20" i="6"/>
  <c r="AI20" i="6"/>
  <c r="AH20" i="6"/>
  <c r="AH37" i="6" s="1"/>
  <c r="AD20" i="6"/>
  <c r="AE20" i="6" s="1"/>
  <c r="AA20" i="6"/>
  <c r="W20" i="6"/>
  <c r="V20" i="6"/>
  <c r="U20" i="6"/>
  <c r="Q20" i="6"/>
  <c r="AL20" i="6" s="1"/>
  <c r="N20" i="6"/>
  <c r="R20" i="6" s="1"/>
  <c r="X20" i="6" s="1"/>
  <c r="K20" i="6"/>
  <c r="H20" i="6"/>
  <c r="E20" i="6"/>
  <c r="BO19" i="6"/>
  <c r="BM19" i="6"/>
  <c r="BG19" i="6"/>
  <c r="BE19" i="6"/>
  <c r="AZ19" i="6"/>
  <c r="BD19" i="6" s="1"/>
  <c r="AS19" i="6"/>
  <c r="BC19" i="6" s="1"/>
  <c r="AP19" i="6"/>
  <c r="AJ19" i="6"/>
  <c r="AI19" i="6"/>
  <c r="AH19" i="6"/>
  <c r="AD19" i="6"/>
  <c r="AA19" i="6"/>
  <c r="AE19" i="6" s="1"/>
  <c r="AK19" i="6" s="1"/>
  <c r="W19" i="6"/>
  <c r="V19" i="6"/>
  <c r="U19" i="6"/>
  <c r="Q19" i="6"/>
  <c r="N19" i="6"/>
  <c r="K19" i="6"/>
  <c r="H19" i="6"/>
  <c r="E19" i="6"/>
  <c r="BO18" i="6"/>
  <c r="BM18" i="6"/>
  <c r="BG18" i="6"/>
  <c r="BE18" i="6"/>
  <c r="BD18" i="6"/>
  <c r="BC18" i="6"/>
  <c r="AZ18" i="6"/>
  <c r="AS18" i="6"/>
  <c r="AP18" i="6"/>
  <c r="BB18" i="6" s="1"/>
  <c r="AL18" i="6"/>
  <c r="AJ18" i="6"/>
  <c r="AI18" i="6"/>
  <c r="AH18" i="6"/>
  <c r="AD18" i="6"/>
  <c r="AA18" i="6"/>
  <c r="AE18" i="6" s="1"/>
  <c r="AK18" i="6" s="1"/>
  <c r="X18" i="6"/>
  <c r="W18" i="6"/>
  <c r="V18" i="6"/>
  <c r="U18" i="6"/>
  <c r="Q18" i="6"/>
  <c r="N18" i="6"/>
  <c r="R18" i="6" s="1"/>
  <c r="K18" i="6"/>
  <c r="H18" i="6"/>
  <c r="E18" i="6"/>
  <c r="BO17" i="6"/>
  <c r="BM17" i="6"/>
  <c r="BE17" i="6"/>
  <c r="BD17" i="6"/>
  <c r="BC17" i="6"/>
  <c r="BB17" i="6"/>
  <c r="AZ17" i="6"/>
  <c r="BG17" i="6" s="1"/>
  <c r="AS17" i="6"/>
  <c r="AP17" i="6"/>
  <c r="AL17" i="6"/>
  <c r="AJ17" i="6"/>
  <c r="AI17" i="6"/>
  <c r="AH17" i="6"/>
  <c r="AD17" i="6"/>
  <c r="AA17" i="6"/>
  <c r="W17" i="6"/>
  <c r="V17" i="6"/>
  <c r="U17" i="6"/>
  <c r="Q17" i="6"/>
  <c r="N17" i="6"/>
  <c r="R17" i="6" s="1"/>
  <c r="X17" i="6" s="1"/>
  <c r="K17" i="6"/>
  <c r="H17" i="6"/>
  <c r="E17" i="6"/>
  <c r="C38" i="5"/>
  <c r="AL35" i="5"/>
  <c r="AK35" i="5"/>
  <c r="AJ35" i="5"/>
  <c r="AI35" i="5"/>
  <c r="AH35" i="5"/>
  <c r="AG35" i="5"/>
  <c r="AA35" i="5"/>
  <c r="AE35" i="5" s="1"/>
  <c r="Y35" i="5"/>
  <c r="X35" i="5"/>
  <c r="W35" i="5"/>
  <c r="V35" i="5"/>
  <c r="T35" i="5"/>
  <c r="S35" i="5"/>
  <c r="R35" i="5"/>
  <c r="Q35" i="5"/>
  <c r="P35" i="5"/>
  <c r="O35" i="5"/>
  <c r="M35" i="5"/>
  <c r="N35" i="5" s="1"/>
  <c r="K35" i="5"/>
  <c r="J35" i="5"/>
  <c r="I35" i="5"/>
  <c r="G35" i="5"/>
  <c r="F35" i="5"/>
  <c r="H35" i="5" s="1"/>
  <c r="D35" i="5"/>
  <c r="C35" i="5"/>
  <c r="B35" i="5"/>
  <c r="AL34" i="5"/>
  <c r="AK34" i="5"/>
  <c r="AJ34" i="5"/>
  <c r="AI34" i="5"/>
  <c r="AH34" i="5"/>
  <c r="AG34" i="5"/>
  <c r="AA34" i="5"/>
  <c r="Y34" i="5"/>
  <c r="X34" i="5"/>
  <c r="W34" i="5"/>
  <c r="V34" i="5"/>
  <c r="AB34" i="5" s="1"/>
  <c r="R34" i="5"/>
  <c r="P34" i="5"/>
  <c r="O34" i="5"/>
  <c r="Q34" i="5" s="1"/>
  <c r="S34" i="5" s="1"/>
  <c r="M34" i="5"/>
  <c r="N34" i="5" s="1"/>
  <c r="K34" i="5"/>
  <c r="J34" i="5"/>
  <c r="I34" i="5"/>
  <c r="G34" i="5"/>
  <c r="F34" i="5"/>
  <c r="D34" i="5"/>
  <c r="C34" i="5"/>
  <c r="B34" i="5"/>
  <c r="AL33" i="5"/>
  <c r="AK33" i="5"/>
  <c r="AJ33" i="5"/>
  <c r="AI33" i="5"/>
  <c r="AH33" i="5"/>
  <c r="AG33" i="5"/>
  <c r="AA33" i="5"/>
  <c r="AE33" i="5" s="1"/>
  <c r="Y33" i="5"/>
  <c r="Z33" i="5" s="1"/>
  <c r="AD33" i="5" s="1"/>
  <c r="X33" i="5"/>
  <c r="W33" i="5"/>
  <c r="V33" i="5"/>
  <c r="R33" i="5"/>
  <c r="P33" i="5"/>
  <c r="O33" i="5"/>
  <c r="Q33" i="5" s="1"/>
  <c r="S33" i="5" s="1"/>
  <c r="M33" i="5"/>
  <c r="N33" i="5" s="1"/>
  <c r="K33" i="5"/>
  <c r="J33" i="5"/>
  <c r="I33" i="5"/>
  <c r="G33" i="5"/>
  <c r="F33" i="5"/>
  <c r="D33" i="5"/>
  <c r="C33" i="5"/>
  <c r="B33" i="5"/>
  <c r="AL32" i="5"/>
  <c r="AK32" i="5"/>
  <c r="AJ32" i="5"/>
  <c r="AI32" i="5"/>
  <c r="AH32" i="5"/>
  <c r="AG32" i="5"/>
  <c r="AM32" i="5" s="1"/>
  <c r="AA32" i="5"/>
  <c r="Y32" i="5"/>
  <c r="Z32" i="5" s="1"/>
  <c r="X32" i="5"/>
  <c r="W32" i="5"/>
  <c r="V32" i="5"/>
  <c r="AB32" i="5" s="1"/>
  <c r="R32" i="5"/>
  <c r="P32" i="5"/>
  <c r="O32" i="5"/>
  <c r="Q32" i="5" s="1"/>
  <c r="S32" i="5" s="1"/>
  <c r="M32" i="5"/>
  <c r="N32" i="5" s="1"/>
  <c r="K32" i="5"/>
  <c r="J32" i="5"/>
  <c r="I32" i="5"/>
  <c r="G32" i="5"/>
  <c r="F32" i="5"/>
  <c r="H32" i="5" s="1"/>
  <c r="D32" i="5"/>
  <c r="C32" i="5"/>
  <c r="E32" i="5" s="1"/>
  <c r="B32" i="5"/>
  <c r="AL31" i="5"/>
  <c r="AK31" i="5"/>
  <c r="AJ31" i="5"/>
  <c r="AI31" i="5"/>
  <c r="AH31" i="5"/>
  <c r="AG31" i="5"/>
  <c r="AA31" i="5"/>
  <c r="Y31" i="5"/>
  <c r="X31" i="5"/>
  <c r="W31" i="5"/>
  <c r="V31" i="5"/>
  <c r="AB31" i="5" s="1"/>
  <c r="T31" i="5"/>
  <c r="R31" i="5"/>
  <c r="P31" i="5"/>
  <c r="O31" i="5"/>
  <c r="Q31" i="5" s="1"/>
  <c r="S31" i="5" s="1"/>
  <c r="M31" i="5"/>
  <c r="N31" i="5" s="1"/>
  <c r="K31" i="5"/>
  <c r="J31" i="5"/>
  <c r="I31" i="5"/>
  <c r="G31" i="5"/>
  <c r="F31" i="5"/>
  <c r="D31" i="5"/>
  <c r="C31" i="5"/>
  <c r="B31" i="5"/>
  <c r="AL30" i="5"/>
  <c r="AK30" i="5"/>
  <c r="AJ30" i="5"/>
  <c r="AI30" i="5"/>
  <c r="AH30" i="5"/>
  <c r="AG30" i="5"/>
  <c r="AM30" i="5" s="1"/>
  <c r="AA30" i="5"/>
  <c r="AE30" i="5" s="1"/>
  <c r="Y30" i="5"/>
  <c r="X30" i="5"/>
  <c r="W30" i="5"/>
  <c r="V30" i="5"/>
  <c r="AB30" i="5" s="1"/>
  <c r="S30" i="5"/>
  <c r="R30" i="5"/>
  <c r="Q30" i="5"/>
  <c r="P30" i="5"/>
  <c r="O30" i="5"/>
  <c r="M30" i="5"/>
  <c r="N30" i="5" s="1"/>
  <c r="K30" i="5"/>
  <c r="J30" i="5"/>
  <c r="I30" i="5"/>
  <c r="G30" i="5"/>
  <c r="F30" i="5"/>
  <c r="D30" i="5"/>
  <c r="C30" i="5"/>
  <c r="E30" i="5" s="1"/>
  <c r="B30" i="5"/>
  <c r="AL29" i="5"/>
  <c r="AK29" i="5"/>
  <c r="AJ29" i="5"/>
  <c r="AI29" i="5"/>
  <c r="AH29" i="5"/>
  <c r="AG29" i="5"/>
  <c r="AA29" i="5"/>
  <c r="AE29" i="5" s="1"/>
  <c r="Y29" i="5"/>
  <c r="X29" i="5"/>
  <c r="W29" i="5"/>
  <c r="V29" i="5"/>
  <c r="AB29" i="5" s="1"/>
  <c r="R29" i="5"/>
  <c r="P29" i="5"/>
  <c r="O29" i="5"/>
  <c r="Q29" i="5" s="1"/>
  <c r="S29" i="5" s="1"/>
  <c r="M29" i="5"/>
  <c r="N29" i="5" s="1"/>
  <c r="K29" i="5"/>
  <c r="J29" i="5"/>
  <c r="T29" i="5" s="1"/>
  <c r="I29" i="5"/>
  <c r="G29" i="5"/>
  <c r="H29" i="5" s="1"/>
  <c r="F29" i="5"/>
  <c r="D29" i="5"/>
  <c r="C29" i="5"/>
  <c r="B29" i="5"/>
  <c r="AL28" i="5"/>
  <c r="AK28" i="5"/>
  <c r="AJ28" i="5"/>
  <c r="AI28" i="5"/>
  <c r="AH28" i="5"/>
  <c r="AG28" i="5"/>
  <c r="AM28" i="5" s="1"/>
  <c r="AA28" i="5"/>
  <c r="AE28" i="5" s="1"/>
  <c r="Y28" i="5"/>
  <c r="X28" i="5"/>
  <c r="W28" i="5"/>
  <c r="V28" i="5"/>
  <c r="AB28" i="5" s="1"/>
  <c r="R28" i="5"/>
  <c r="P28" i="5"/>
  <c r="O28" i="5"/>
  <c r="Q28" i="5" s="1"/>
  <c r="S28" i="5" s="1"/>
  <c r="M28" i="5"/>
  <c r="N28" i="5" s="1"/>
  <c r="K28" i="5"/>
  <c r="J28" i="5"/>
  <c r="L28" i="5" s="1"/>
  <c r="I28" i="5"/>
  <c r="G28" i="5"/>
  <c r="F28" i="5"/>
  <c r="D28" i="5"/>
  <c r="C28" i="5"/>
  <c r="E28" i="5" s="1"/>
  <c r="B28" i="5"/>
  <c r="AL27" i="5"/>
  <c r="AK27" i="5"/>
  <c r="AJ27" i="5"/>
  <c r="AI27" i="5"/>
  <c r="AH27" i="5"/>
  <c r="AG27" i="5"/>
  <c r="AA27" i="5"/>
  <c r="AE27" i="5" s="1"/>
  <c r="Y27" i="5"/>
  <c r="X27" i="5"/>
  <c r="W27" i="5"/>
  <c r="AC27" i="5" s="1"/>
  <c r="V27" i="5"/>
  <c r="AB27" i="5" s="1"/>
  <c r="R27" i="5"/>
  <c r="P27" i="5"/>
  <c r="O27" i="5"/>
  <c r="Q27" i="5" s="1"/>
  <c r="S27" i="5" s="1"/>
  <c r="U27" i="5" s="1"/>
  <c r="M27" i="5"/>
  <c r="N27" i="5" s="1"/>
  <c r="K27" i="5"/>
  <c r="J27" i="5"/>
  <c r="T27" i="5" s="1"/>
  <c r="I27" i="5"/>
  <c r="G27" i="5"/>
  <c r="F27" i="5"/>
  <c r="D27" i="5"/>
  <c r="C27" i="5"/>
  <c r="E27" i="5" s="1"/>
  <c r="B27" i="5"/>
  <c r="AL26" i="5"/>
  <c r="AK26" i="5"/>
  <c r="AJ26" i="5"/>
  <c r="AI26" i="5"/>
  <c r="AH26" i="5"/>
  <c r="AG26" i="5"/>
  <c r="AM26" i="5" s="1"/>
  <c r="AA26" i="5"/>
  <c r="AE26" i="5" s="1"/>
  <c r="Y26" i="5"/>
  <c r="X26" i="5"/>
  <c r="Z26" i="5" s="1"/>
  <c r="W26" i="5"/>
  <c r="V26" i="5"/>
  <c r="R26" i="5"/>
  <c r="P26" i="5"/>
  <c r="O26" i="5"/>
  <c r="Q26" i="5" s="1"/>
  <c r="S26" i="5" s="1"/>
  <c r="M26" i="5"/>
  <c r="N26" i="5" s="1"/>
  <c r="K26" i="5"/>
  <c r="J26" i="5"/>
  <c r="I26" i="5"/>
  <c r="G26" i="5"/>
  <c r="F26" i="5"/>
  <c r="D26" i="5"/>
  <c r="C26" i="5"/>
  <c r="B26" i="5"/>
  <c r="AL25" i="5"/>
  <c r="AK25" i="5"/>
  <c r="AJ25" i="5"/>
  <c r="AI25" i="5"/>
  <c r="AH25" i="5"/>
  <c r="AG25" i="5"/>
  <c r="AM25" i="5" s="1"/>
  <c r="AA25" i="5"/>
  <c r="Y25" i="5"/>
  <c r="X25" i="5"/>
  <c r="W25" i="5"/>
  <c r="V25" i="5"/>
  <c r="AB25" i="5" s="1"/>
  <c r="R25" i="5"/>
  <c r="P25" i="5"/>
  <c r="O25" i="5"/>
  <c r="M25" i="5"/>
  <c r="N25" i="5" s="1"/>
  <c r="K25" i="5"/>
  <c r="L25" i="5" s="1"/>
  <c r="J25" i="5"/>
  <c r="T25" i="5" s="1"/>
  <c r="I25" i="5"/>
  <c r="G25" i="5"/>
  <c r="F25" i="5"/>
  <c r="H25" i="5" s="1"/>
  <c r="D25" i="5"/>
  <c r="C25" i="5"/>
  <c r="E25" i="5" s="1"/>
  <c r="B25" i="5"/>
  <c r="AL24" i="5"/>
  <c r="AK24" i="5"/>
  <c r="AJ24" i="5"/>
  <c r="AI24" i="5"/>
  <c r="AH24" i="5"/>
  <c r="AG24" i="5"/>
  <c r="AA24" i="5"/>
  <c r="Y24" i="5"/>
  <c r="X24" i="5"/>
  <c r="Z24" i="5" s="1"/>
  <c r="W24" i="5"/>
  <c r="V24" i="5"/>
  <c r="R24" i="5"/>
  <c r="P24" i="5"/>
  <c r="O24" i="5"/>
  <c r="M24" i="5"/>
  <c r="N24" i="5" s="1"/>
  <c r="K24" i="5"/>
  <c r="J24" i="5"/>
  <c r="I24" i="5"/>
  <c r="G24" i="5"/>
  <c r="F24" i="5"/>
  <c r="H24" i="5" s="1"/>
  <c r="D24" i="5"/>
  <c r="C24" i="5"/>
  <c r="E24" i="5" s="1"/>
  <c r="B24" i="5"/>
  <c r="AL23" i="5"/>
  <c r="AK23" i="5"/>
  <c r="AJ23" i="5"/>
  <c r="AI23" i="5"/>
  <c r="AH23" i="5"/>
  <c r="AG23" i="5"/>
  <c r="AA23" i="5"/>
  <c r="AE23" i="5" s="1"/>
  <c r="Y23" i="5"/>
  <c r="X23" i="5"/>
  <c r="Z23" i="5" s="1"/>
  <c r="W23" i="5"/>
  <c r="AC23" i="5" s="1"/>
  <c r="V23" i="5"/>
  <c r="AB23" i="5" s="1"/>
  <c r="R23" i="5"/>
  <c r="P23" i="5"/>
  <c r="O23" i="5"/>
  <c r="M23" i="5"/>
  <c r="N23" i="5" s="1"/>
  <c r="K23" i="5"/>
  <c r="J23" i="5"/>
  <c r="L23" i="5" s="1"/>
  <c r="I23" i="5"/>
  <c r="G23" i="5"/>
  <c r="F23" i="5"/>
  <c r="H23" i="5" s="1"/>
  <c r="D23" i="5"/>
  <c r="C23" i="5"/>
  <c r="B23" i="5"/>
  <c r="AL22" i="5"/>
  <c r="AK22" i="5"/>
  <c r="AJ22" i="5"/>
  <c r="AI22" i="5"/>
  <c r="AH22" i="5"/>
  <c r="AG22" i="5"/>
  <c r="AM22" i="5" s="1"/>
  <c r="AA22" i="5"/>
  <c r="AE22" i="5" s="1"/>
  <c r="Y22" i="5"/>
  <c r="X22" i="5"/>
  <c r="W22" i="5"/>
  <c r="V22" i="5"/>
  <c r="R22" i="5"/>
  <c r="P22" i="5"/>
  <c r="O22" i="5"/>
  <c r="M22" i="5"/>
  <c r="N22" i="5" s="1"/>
  <c r="K22" i="5"/>
  <c r="J22" i="5"/>
  <c r="I22" i="5"/>
  <c r="H22" i="5"/>
  <c r="G22" i="5"/>
  <c r="F22" i="5"/>
  <c r="D22" i="5"/>
  <c r="C22" i="5"/>
  <c r="E22" i="5" s="1"/>
  <c r="B22" i="5"/>
  <c r="AL21" i="5"/>
  <c r="AK21" i="5"/>
  <c r="AJ21" i="5"/>
  <c r="AI21" i="5"/>
  <c r="AH21" i="5"/>
  <c r="AG21" i="5"/>
  <c r="AA21" i="5"/>
  <c r="Y21" i="5"/>
  <c r="X21" i="5"/>
  <c r="Z21" i="5" s="1"/>
  <c r="W21" i="5"/>
  <c r="V21" i="5"/>
  <c r="R21" i="5"/>
  <c r="P21" i="5"/>
  <c r="O21" i="5"/>
  <c r="M21" i="5"/>
  <c r="N21" i="5" s="1"/>
  <c r="K21" i="5"/>
  <c r="L21" i="5" s="1"/>
  <c r="J21" i="5"/>
  <c r="T21" i="5" s="1"/>
  <c r="I21" i="5"/>
  <c r="G21" i="5"/>
  <c r="F21" i="5"/>
  <c r="D21" i="5"/>
  <c r="C21" i="5"/>
  <c r="E21" i="5" s="1"/>
  <c r="B21" i="5"/>
  <c r="AL20" i="5"/>
  <c r="AK20" i="5"/>
  <c r="AJ20" i="5"/>
  <c r="AI20" i="5"/>
  <c r="AH20" i="5"/>
  <c r="AG20" i="5"/>
  <c r="AA20" i="5"/>
  <c r="Y20" i="5"/>
  <c r="X20" i="5"/>
  <c r="Z20" i="5" s="1"/>
  <c r="W20" i="5"/>
  <c r="V20" i="5"/>
  <c r="AB20" i="5" s="1"/>
  <c r="T20" i="5"/>
  <c r="R20" i="5"/>
  <c r="P20" i="5"/>
  <c r="O20" i="5"/>
  <c r="M20" i="5"/>
  <c r="N20" i="5" s="1"/>
  <c r="K20" i="5"/>
  <c r="J20" i="5"/>
  <c r="L20" i="5" s="1"/>
  <c r="I20" i="5"/>
  <c r="G20" i="5"/>
  <c r="F20" i="5"/>
  <c r="D20" i="5"/>
  <c r="C20" i="5"/>
  <c r="B20" i="5"/>
  <c r="AL19" i="5"/>
  <c r="AK19" i="5"/>
  <c r="AJ19" i="5"/>
  <c r="AI19" i="5"/>
  <c r="AH19" i="5"/>
  <c r="AG19" i="5"/>
  <c r="AM19" i="5" s="1"/>
  <c r="AA19" i="5"/>
  <c r="AE19" i="5" s="1"/>
  <c r="Y19" i="5"/>
  <c r="X19" i="5"/>
  <c r="Z19" i="5" s="1"/>
  <c r="W19" i="5"/>
  <c r="V19" i="5"/>
  <c r="R19" i="5"/>
  <c r="P19" i="5"/>
  <c r="O19" i="5"/>
  <c r="Q19" i="5" s="1"/>
  <c r="S19" i="5" s="1"/>
  <c r="M19" i="5"/>
  <c r="N19" i="5" s="1"/>
  <c r="K19" i="5"/>
  <c r="J19" i="5"/>
  <c r="I19" i="5"/>
  <c r="H19" i="5"/>
  <c r="G19" i="5"/>
  <c r="F19" i="5"/>
  <c r="D19" i="5"/>
  <c r="C19" i="5"/>
  <c r="E19" i="5" s="1"/>
  <c r="B19" i="5"/>
  <c r="AL18" i="5"/>
  <c r="AK18" i="5"/>
  <c r="AJ18" i="5"/>
  <c r="AI18" i="5"/>
  <c r="AH18" i="5"/>
  <c r="AG18" i="5"/>
  <c r="AA18" i="5"/>
  <c r="Y18" i="5"/>
  <c r="X18" i="5"/>
  <c r="W18" i="5"/>
  <c r="V18" i="5"/>
  <c r="AB18" i="5" s="1"/>
  <c r="R18" i="5"/>
  <c r="P18" i="5"/>
  <c r="O18" i="5"/>
  <c r="Q18" i="5" s="1"/>
  <c r="S18" i="5" s="1"/>
  <c r="M18" i="5"/>
  <c r="N18" i="5" s="1"/>
  <c r="K18" i="5"/>
  <c r="J18" i="5"/>
  <c r="I18" i="5"/>
  <c r="U18" i="5" s="1"/>
  <c r="G18" i="5"/>
  <c r="F18" i="5"/>
  <c r="D18" i="5"/>
  <c r="C18" i="5"/>
  <c r="E18" i="5" s="1"/>
  <c r="B18" i="5"/>
  <c r="AL17" i="5"/>
  <c r="AK17" i="5"/>
  <c r="AJ17" i="5"/>
  <c r="AI17" i="5"/>
  <c r="AH17" i="5"/>
  <c r="AG17" i="5"/>
  <c r="AA17" i="5"/>
  <c r="Y17" i="5"/>
  <c r="X17" i="5"/>
  <c r="Z17" i="5" s="1"/>
  <c r="W17" i="5"/>
  <c r="AC17" i="5" s="1"/>
  <c r="V17" i="5"/>
  <c r="AB17" i="5" s="1"/>
  <c r="R17" i="5"/>
  <c r="P17" i="5"/>
  <c r="O17" i="5"/>
  <c r="M17" i="5"/>
  <c r="N17" i="5" s="1"/>
  <c r="K17" i="5"/>
  <c r="J17" i="5"/>
  <c r="L17" i="5" s="1"/>
  <c r="I17" i="5"/>
  <c r="G17" i="5"/>
  <c r="F17" i="5"/>
  <c r="D17" i="5"/>
  <c r="C17" i="5"/>
  <c r="B17" i="5"/>
  <c r="AL16" i="5"/>
  <c r="AL36" i="5" s="1"/>
  <c r="AK16" i="5"/>
  <c r="AJ16" i="5"/>
  <c r="AI16" i="5"/>
  <c r="AH16" i="5"/>
  <c r="AG16" i="5"/>
  <c r="AA16" i="5"/>
  <c r="Y16" i="5"/>
  <c r="X16" i="5"/>
  <c r="W16" i="5"/>
  <c r="V16" i="5"/>
  <c r="R16" i="5"/>
  <c r="R36" i="5" s="1"/>
  <c r="P16" i="5"/>
  <c r="O16" i="5"/>
  <c r="M16" i="5"/>
  <c r="N16" i="5" s="1"/>
  <c r="K16" i="5"/>
  <c r="J16" i="5"/>
  <c r="I16" i="5"/>
  <c r="G16" i="5"/>
  <c r="F16" i="5"/>
  <c r="D16" i="5"/>
  <c r="C16" i="5"/>
  <c r="B16" i="5"/>
  <c r="C38" i="4"/>
  <c r="AN36" i="4"/>
  <c r="AL36" i="4"/>
  <c r="AK36" i="4"/>
  <c r="AJ36" i="4"/>
  <c r="AI36" i="4"/>
  <c r="AH36" i="4"/>
  <c r="AG36" i="4"/>
  <c r="AC36" i="4"/>
  <c r="AA36" i="4"/>
  <c r="AE36" i="4" s="1"/>
  <c r="Y36" i="4"/>
  <c r="X36" i="4"/>
  <c r="W36" i="4"/>
  <c r="V36" i="4"/>
  <c r="R36" i="4"/>
  <c r="P36" i="4"/>
  <c r="O36" i="4"/>
  <c r="M36" i="4"/>
  <c r="K36" i="4"/>
  <c r="J36" i="4"/>
  <c r="I36" i="4"/>
  <c r="G36" i="4"/>
  <c r="F36" i="4"/>
  <c r="D36" i="4"/>
  <c r="C36" i="4"/>
  <c r="B36" i="4"/>
  <c r="AO35" i="4"/>
  <c r="AM35" i="4"/>
  <c r="AE35" i="4"/>
  <c r="AC35" i="4"/>
  <c r="AB35" i="4"/>
  <c r="Z35" i="4"/>
  <c r="T35" i="4"/>
  <c r="Q35" i="4"/>
  <c r="S35" i="4" s="1"/>
  <c r="N35" i="4"/>
  <c r="L35" i="4"/>
  <c r="H35" i="4"/>
  <c r="E35" i="4"/>
  <c r="AO34" i="4"/>
  <c r="AM34" i="4"/>
  <c r="AE34" i="4"/>
  <c r="AC34" i="4"/>
  <c r="AB34" i="4"/>
  <c r="Z34" i="4"/>
  <c r="T34" i="4"/>
  <c r="Q34" i="4"/>
  <c r="S34" i="4" s="1"/>
  <c r="N34" i="4"/>
  <c r="L34" i="4"/>
  <c r="H34" i="4"/>
  <c r="E34" i="4"/>
  <c r="AO33" i="4"/>
  <c r="AM33" i="4"/>
  <c r="AE33" i="4"/>
  <c r="AC33" i="4"/>
  <c r="AB33" i="4"/>
  <c r="Z33" i="4"/>
  <c r="T33" i="4"/>
  <c r="Q33" i="4"/>
  <c r="S33" i="4" s="1"/>
  <c r="N33" i="4"/>
  <c r="L33" i="4"/>
  <c r="H33" i="4"/>
  <c r="E33" i="4"/>
  <c r="AO32" i="4"/>
  <c r="AM32" i="4"/>
  <c r="AE32" i="4"/>
  <c r="AC32" i="4"/>
  <c r="AB32" i="4"/>
  <c r="Z32" i="4"/>
  <c r="AF32" i="4" s="1"/>
  <c r="T32" i="4"/>
  <c r="Q32" i="4"/>
  <c r="S32" i="4" s="1"/>
  <c r="N32" i="4"/>
  <c r="L32" i="4"/>
  <c r="H32" i="4"/>
  <c r="E32" i="4"/>
  <c r="AO31" i="4"/>
  <c r="AM31" i="4"/>
  <c r="AE31" i="4"/>
  <c r="AC31" i="4"/>
  <c r="AB31" i="4"/>
  <c r="Z31" i="4"/>
  <c r="AF31" i="4" s="1"/>
  <c r="T31" i="4"/>
  <c r="Q31" i="4"/>
  <c r="S31" i="4" s="1"/>
  <c r="N31" i="4"/>
  <c r="L31" i="4"/>
  <c r="H31" i="4"/>
  <c r="E31" i="4"/>
  <c r="AO30" i="4"/>
  <c r="AM30" i="4"/>
  <c r="AE30" i="4"/>
  <c r="AC30" i="4"/>
  <c r="AB30" i="4"/>
  <c r="Z30" i="4"/>
  <c r="AF30" i="4" s="1"/>
  <c r="T30" i="4"/>
  <c r="Q30" i="4"/>
  <c r="S30" i="4" s="1"/>
  <c r="N30" i="4"/>
  <c r="L30" i="4"/>
  <c r="H30" i="4"/>
  <c r="E30" i="4"/>
  <c r="AO29" i="4"/>
  <c r="AM29" i="4"/>
  <c r="AE29" i="4"/>
  <c r="AD29" i="4"/>
  <c r="AC29" i="4"/>
  <c r="AB29" i="4"/>
  <c r="Z29" i="4"/>
  <c r="AF29" i="4" s="1"/>
  <c r="T29" i="4"/>
  <c r="Q29" i="4"/>
  <c r="S29" i="4" s="1"/>
  <c r="N29" i="4"/>
  <c r="L29" i="4"/>
  <c r="H29" i="4"/>
  <c r="E29" i="4"/>
  <c r="AO28" i="4"/>
  <c r="AM28" i="4"/>
  <c r="AE28" i="4"/>
  <c r="AC28" i="4"/>
  <c r="AB28" i="4"/>
  <c r="Z28" i="4"/>
  <c r="AF28" i="4" s="1"/>
  <c r="T28" i="4"/>
  <c r="Q28" i="4"/>
  <c r="S28" i="4" s="1"/>
  <c r="N28" i="4"/>
  <c r="L28" i="4"/>
  <c r="H28" i="4"/>
  <c r="E28" i="4"/>
  <c r="AO27" i="4"/>
  <c r="AM27" i="4"/>
  <c r="AE27" i="4"/>
  <c r="AD27" i="4"/>
  <c r="AC27" i="4"/>
  <c r="AB27" i="4"/>
  <c r="Z27" i="4"/>
  <c r="AF27" i="4" s="1"/>
  <c r="T27" i="4"/>
  <c r="Q27" i="4"/>
  <c r="S27" i="4" s="1"/>
  <c r="N27" i="4"/>
  <c r="L27" i="4"/>
  <c r="H27" i="4"/>
  <c r="E27" i="4"/>
  <c r="AO26" i="4"/>
  <c r="AM26" i="4"/>
  <c r="AE26" i="4"/>
  <c r="AC26" i="4"/>
  <c r="AB26" i="4"/>
  <c r="Z26" i="4"/>
  <c r="AF26" i="4" s="1"/>
  <c r="T26" i="4"/>
  <c r="Q26" i="4"/>
  <c r="S26" i="4" s="1"/>
  <c r="N26" i="4"/>
  <c r="L26" i="4"/>
  <c r="H26" i="4"/>
  <c r="E26" i="4"/>
  <c r="AO25" i="4"/>
  <c r="AM25" i="4"/>
  <c r="AE25" i="4"/>
  <c r="AC25" i="4"/>
  <c r="AB25" i="4"/>
  <c r="Z25" i="4"/>
  <c r="AF25" i="4" s="1"/>
  <c r="T25" i="4"/>
  <c r="Q25" i="4"/>
  <c r="S25" i="4" s="1"/>
  <c r="N25" i="4"/>
  <c r="L25" i="4"/>
  <c r="H25" i="4"/>
  <c r="E25" i="4"/>
  <c r="AO24" i="4"/>
  <c r="AM24" i="4"/>
  <c r="AE24" i="4"/>
  <c r="AD24" i="4"/>
  <c r="AC24" i="4"/>
  <c r="AB24" i="4"/>
  <c r="Z24" i="4"/>
  <c r="T24" i="4"/>
  <c r="Q24" i="4"/>
  <c r="S24" i="4" s="1"/>
  <c r="N24" i="4"/>
  <c r="L24" i="4"/>
  <c r="H24" i="4"/>
  <c r="E24" i="4"/>
  <c r="AO23" i="4"/>
  <c r="AM23" i="4"/>
  <c r="AE23" i="4"/>
  <c r="AC23" i="4"/>
  <c r="AB23" i="4"/>
  <c r="Z23" i="4"/>
  <c r="T23" i="4"/>
  <c r="Q23" i="4"/>
  <c r="S23" i="4" s="1"/>
  <c r="N23" i="4"/>
  <c r="L23" i="4"/>
  <c r="H23" i="4"/>
  <c r="E23" i="4"/>
  <c r="AO22" i="4"/>
  <c r="AM22" i="4"/>
  <c r="AE22" i="4"/>
  <c r="AD22" i="4"/>
  <c r="AC22" i="4"/>
  <c r="AB22" i="4"/>
  <c r="Z22" i="4"/>
  <c r="T22" i="4"/>
  <c r="Q22" i="4"/>
  <c r="S22" i="4" s="1"/>
  <c r="N22" i="4"/>
  <c r="U22" i="4" s="1"/>
  <c r="L22" i="4"/>
  <c r="H22" i="4"/>
  <c r="E22" i="4"/>
  <c r="AO21" i="4"/>
  <c r="AM21" i="4"/>
  <c r="AE21" i="4"/>
  <c r="AD21" i="4"/>
  <c r="AC21" i="4"/>
  <c r="AB21" i="4"/>
  <c r="Z21" i="4"/>
  <c r="T21" i="4"/>
  <c r="Q21" i="4"/>
  <c r="S21" i="4" s="1"/>
  <c r="N21" i="4"/>
  <c r="L21" i="4"/>
  <c r="H21" i="4"/>
  <c r="E21" i="4"/>
  <c r="AO20" i="4"/>
  <c r="AM20" i="4"/>
  <c r="AE20" i="4"/>
  <c r="AC20" i="4"/>
  <c r="AB20" i="4"/>
  <c r="Z20" i="4"/>
  <c r="T20" i="4"/>
  <c r="Q20" i="4"/>
  <c r="S20" i="4" s="1"/>
  <c r="N20" i="4"/>
  <c r="L20" i="4"/>
  <c r="H20" i="4"/>
  <c r="E20" i="4"/>
  <c r="AO19" i="4"/>
  <c r="AM19" i="4"/>
  <c r="AE19" i="4"/>
  <c r="AC19" i="4"/>
  <c r="AB19" i="4"/>
  <c r="Z19" i="4"/>
  <c r="AD19" i="4" s="1"/>
  <c r="T19" i="4"/>
  <c r="Q19" i="4"/>
  <c r="S19" i="4" s="1"/>
  <c r="N19" i="4"/>
  <c r="L19" i="4"/>
  <c r="H19" i="4"/>
  <c r="E19" i="4"/>
  <c r="AO18" i="4"/>
  <c r="AM18" i="4"/>
  <c r="AE18" i="4"/>
  <c r="AC18" i="4"/>
  <c r="AB18" i="4"/>
  <c r="Z18" i="4"/>
  <c r="T18" i="4"/>
  <c r="Q18" i="4"/>
  <c r="S18" i="4" s="1"/>
  <c r="N18" i="4"/>
  <c r="L18" i="4"/>
  <c r="H18" i="4"/>
  <c r="E18" i="4"/>
  <c r="AO17" i="4"/>
  <c r="AM17" i="4"/>
  <c r="AE17" i="4"/>
  <c r="AC17" i="4"/>
  <c r="AB17" i="4"/>
  <c r="Z17" i="4"/>
  <c r="T17" i="4"/>
  <c r="Q17" i="4"/>
  <c r="S17" i="4" s="1"/>
  <c r="N17" i="4"/>
  <c r="U17" i="4" s="1"/>
  <c r="L17" i="4"/>
  <c r="H17" i="4"/>
  <c r="E17" i="4"/>
  <c r="AO16" i="4"/>
  <c r="AM16" i="4"/>
  <c r="AE16" i="4"/>
  <c r="AC16" i="4"/>
  <c r="AB16" i="4"/>
  <c r="Z16" i="4"/>
  <c r="AD16" i="4" s="1"/>
  <c r="Q16" i="4"/>
  <c r="N16" i="4"/>
  <c r="L16" i="4"/>
  <c r="L36" i="4" s="1"/>
  <c r="H16" i="4"/>
  <c r="H36" i="4" s="1"/>
  <c r="E16" i="4"/>
  <c r="C38" i="3"/>
  <c r="AN36" i="3"/>
  <c r="AO36" i="3" s="1"/>
  <c r="AL36" i="3"/>
  <c r="AK36" i="3"/>
  <c r="AJ36" i="3"/>
  <c r="AI36" i="3"/>
  <c r="AH36" i="3"/>
  <c r="AG36" i="3"/>
  <c r="AB36" i="3"/>
  <c r="AA36" i="3"/>
  <c r="AE36" i="3" s="1"/>
  <c r="Y36" i="3"/>
  <c r="X36" i="3"/>
  <c r="W36" i="3"/>
  <c r="V36" i="3"/>
  <c r="R36" i="3"/>
  <c r="P36" i="3"/>
  <c r="O36" i="3"/>
  <c r="M36" i="3"/>
  <c r="K36" i="3"/>
  <c r="J36" i="3"/>
  <c r="I36" i="3"/>
  <c r="G36" i="3"/>
  <c r="F36" i="3"/>
  <c r="D36" i="3"/>
  <c r="C36" i="3"/>
  <c r="B36" i="3"/>
  <c r="AO35" i="3"/>
  <c r="AM35" i="3"/>
  <c r="AE35" i="3"/>
  <c r="AC35" i="3"/>
  <c r="AB35" i="3"/>
  <c r="Z35" i="3"/>
  <c r="AD35" i="3" s="1"/>
  <c r="T35" i="3"/>
  <c r="S35" i="3"/>
  <c r="Q35" i="3"/>
  <c r="N35" i="3"/>
  <c r="L35" i="3"/>
  <c r="H35" i="3"/>
  <c r="E35" i="3"/>
  <c r="AO34" i="3"/>
  <c r="AM34" i="3"/>
  <c r="AF34" i="3"/>
  <c r="AE34" i="3"/>
  <c r="AD34" i="3"/>
  <c r="AC34" i="3"/>
  <c r="AB34" i="3"/>
  <c r="Z34" i="3"/>
  <c r="T34" i="3"/>
  <c r="Q34" i="3"/>
  <c r="S34" i="3" s="1"/>
  <c r="N34" i="3"/>
  <c r="L34" i="3"/>
  <c r="H34" i="3"/>
  <c r="E34" i="3"/>
  <c r="AO33" i="3"/>
  <c r="AM33" i="3"/>
  <c r="AE33" i="3"/>
  <c r="AC33" i="3"/>
  <c r="AB33" i="3"/>
  <c r="Z33" i="3"/>
  <c r="AD33" i="3" s="1"/>
  <c r="T33" i="3"/>
  <c r="Q33" i="3"/>
  <c r="S33" i="3" s="1"/>
  <c r="N33" i="3"/>
  <c r="L33" i="3"/>
  <c r="AF33" i="3" s="1"/>
  <c r="H33" i="3"/>
  <c r="E33" i="3"/>
  <c r="AO32" i="3"/>
  <c r="AM32" i="3"/>
  <c r="AE32" i="3"/>
  <c r="AC32" i="3"/>
  <c r="AB32" i="3"/>
  <c r="Z32" i="3"/>
  <c r="AD32" i="3" s="1"/>
  <c r="T32" i="3"/>
  <c r="Q32" i="3"/>
  <c r="S32" i="3" s="1"/>
  <c r="N32" i="3"/>
  <c r="L32" i="3"/>
  <c r="H32" i="3"/>
  <c r="E32" i="3"/>
  <c r="AO31" i="3"/>
  <c r="AM31" i="3"/>
  <c r="AE31" i="3"/>
  <c r="AC31" i="3"/>
  <c r="AB31" i="3"/>
  <c r="Z31" i="3"/>
  <c r="AF31" i="3" s="1"/>
  <c r="T31" i="3"/>
  <c r="S31" i="3"/>
  <c r="Q31" i="3"/>
  <c r="N31" i="3"/>
  <c r="L31" i="3"/>
  <c r="H31" i="3"/>
  <c r="E31" i="3"/>
  <c r="AO30" i="3"/>
  <c r="AM30" i="3"/>
  <c r="AE30" i="3"/>
  <c r="AD30" i="3"/>
  <c r="AC30" i="3"/>
  <c r="AB30" i="3"/>
  <c r="Z30" i="3"/>
  <c r="T30" i="3"/>
  <c r="S30" i="3"/>
  <c r="Q30" i="3"/>
  <c r="N30" i="3"/>
  <c r="L30" i="3"/>
  <c r="H30" i="3"/>
  <c r="E30" i="3"/>
  <c r="AO29" i="3"/>
  <c r="AM29" i="3"/>
  <c r="AE29" i="3"/>
  <c r="AD29" i="3"/>
  <c r="AC29" i="3"/>
  <c r="AB29" i="3"/>
  <c r="Z29" i="3"/>
  <c r="T29" i="3"/>
  <c r="Q29" i="3"/>
  <c r="S29" i="3" s="1"/>
  <c r="N29" i="3"/>
  <c r="L29" i="3"/>
  <c r="AF29" i="3" s="1"/>
  <c r="H29" i="3"/>
  <c r="E29" i="3"/>
  <c r="AO28" i="3"/>
  <c r="AM28" i="3"/>
  <c r="AE28" i="3"/>
  <c r="AD28" i="3"/>
  <c r="AC28" i="3"/>
  <c r="AB28" i="3"/>
  <c r="Z28" i="3"/>
  <c r="T28" i="3"/>
  <c r="Q28" i="3"/>
  <c r="S28" i="3" s="1"/>
  <c r="N28" i="3"/>
  <c r="L28" i="3"/>
  <c r="AF28" i="3" s="1"/>
  <c r="H28" i="3"/>
  <c r="E28" i="3"/>
  <c r="AO27" i="3"/>
  <c r="AM27" i="3"/>
  <c r="AE27" i="3"/>
  <c r="AC27" i="3"/>
  <c r="AB27" i="3"/>
  <c r="Z27" i="3"/>
  <c r="AD27" i="3" s="1"/>
  <c r="T27" i="3"/>
  <c r="Q27" i="3"/>
  <c r="S27" i="3" s="1"/>
  <c r="N27" i="3"/>
  <c r="L27" i="3"/>
  <c r="H27" i="3"/>
  <c r="E27" i="3"/>
  <c r="AO26" i="3"/>
  <c r="AM26" i="3"/>
  <c r="AE26" i="3"/>
  <c r="AC26" i="3"/>
  <c r="AB26" i="3"/>
  <c r="Z26" i="3"/>
  <c r="AF26" i="3" s="1"/>
  <c r="T26" i="3"/>
  <c r="S26" i="3"/>
  <c r="Q26" i="3"/>
  <c r="N26" i="3"/>
  <c r="L26" i="3"/>
  <c r="H26" i="3"/>
  <c r="E26" i="3"/>
  <c r="AO25" i="3"/>
  <c r="AM25" i="3"/>
  <c r="AF25" i="3"/>
  <c r="AE25" i="3"/>
  <c r="AD25" i="3"/>
  <c r="AC25" i="3"/>
  <c r="AB25" i="3"/>
  <c r="Z25" i="3"/>
  <c r="T25" i="3"/>
  <c r="Q25" i="3"/>
  <c r="S25" i="3" s="1"/>
  <c r="N25" i="3"/>
  <c r="L25" i="3"/>
  <c r="H25" i="3"/>
  <c r="E25" i="3"/>
  <c r="AO24" i="3"/>
  <c r="AM24" i="3"/>
  <c r="AE24" i="3"/>
  <c r="AD24" i="3"/>
  <c r="AC24" i="3"/>
  <c r="AB24" i="3"/>
  <c r="Z24" i="3"/>
  <c r="T24" i="3"/>
  <c r="Q24" i="3"/>
  <c r="S24" i="3" s="1"/>
  <c r="N24" i="3"/>
  <c r="L24" i="3"/>
  <c r="AF24" i="3" s="1"/>
  <c r="H24" i="3"/>
  <c r="E24" i="3"/>
  <c r="AO23" i="3"/>
  <c r="AM23" i="3"/>
  <c r="AE23" i="3"/>
  <c r="AC23" i="3"/>
  <c r="AB23" i="3"/>
  <c r="Z23" i="3"/>
  <c r="AD23" i="3" s="1"/>
  <c r="T23" i="3"/>
  <c r="Q23" i="3"/>
  <c r="S23" i="3" s="1"/>
  <c r="N23" i="3"/>
  <c r="L23" i="3"/>
  <c r="H23" i="3"/>
  <c r="E23" i="3"/>
  <c r="AO22" i="3"/>
  <c r="AM22" i="3"/>
  <c r="AE22" i="3"/>
  <c r="AC22" i="3"/>
  <c r="AB22" i="3"/>
  <c r="Z22" i="3"/>
  <c r="AD22" i="3" s="1"/>
  <c r="T22" i="3"/>
  <c r="S22" i="3"/>
  <c r="Q22" i="3"/>
  <c r="N22" i="3"/>
  <c r="L22" i="3"/>
  <c r="H22" i="3"/>
  <c r="E22" i="3"/>
  <c r="AO21" i="3"/>
  <c r="AM21" i="3"/>
  <c r="AE21" i="3"/>
  <c r="AC21" i="3"/>
  <c r="AB21" i="3"/>
  <c r="Z21" i="3"/>
  <c r="AD21" i="3" s="1"/>
  <c r="T21" i="3"/>
  <c r="S21" i="3"/>
  <c r="Q21" i="3"/>
  <c r="N21" i="3"/>
  <c r="L21" i="3"/>
  <c r="H21" i="3"/>
  <c r="E21" i="3"/>
  <c r="AO20" i="3"/>
  <c r="AM20" i="3"/>
  <c r="AF20" i="3"/>
  <c r="AE20" i="3"/>
  <c r="AD20" i="3"/>
  <c r="AC20" i="3"/>
  <c r="AB20" i="3"/>
  <c r="Z20" i="3"/>
  <c r="T20" i="3"/>
  <c r="S20" i="3"/>
  <c r="Q20" i="3"/>
  <c r="N20" i="3"/>
  <c r="L20" i="3"/>
  <c r="H20" i="3"/>
  <c r="E20" i="3"/>
  <c r="AO19" i="3"/>
  <c r="AM19" i="3"/>
  <c r="AE19" i="3"/>
  <c r="AC19" i="3"/>
  <c r="AB19" i="3"/>
  <c r="Z19" i="3"/>
  <c r="AD19" i="3" s="1"/>
  <c r="T19" i="3"/>
  <c r="Q19" i="3"/>
  <c r="S19" i="3" s="1"/>
  <c r="N19" i="3"/>
  <c r="L19" i="3"/>
  <c r="AF19" i="3" s="1"/>
  <c r="H19" i="3"/>
  <c r="E19" i="3"/>
  <c r="AO18" i="3"/>
  <c r="AM18" i="3"/>
  <c r="AE18" i="3"/>
  <c r="AC18" i="3"/>
  <c r="AB18" i="3"/>
  <c r="Z18" i="3"/>
  <c r="AD18" i="3" s="1"/>
  <c r="T18" i="3"/>
  <c r="Q18" i="3"/>
  <c r="S18" i="3" s="1"/>
  <c r="N18" i="3"/>
  <c r="L18" i="3"/>
  <c r="L36" i="3" s="1"/>
  <c r="H18" i="3"/>
  <c r="H36" i="3" s="1"/>
  <c r="E18" i="3"/>
  <c r="AO17" i="3"/>
  <c r="AM17" i="3"/>
  <c r="AE17" i="3"/>
  <c r="AC17" i="3"/>
  <c r="AB17" i="3"/>
  <c r="Z17" i="3"/>
  <c r="AD17" i="3" s="1"/>
  <c r="T17" i="3"/>
  <c r="Q17" i="3"/>
  <c r="S17" i="3" s="1"/>
  <c r="N17" i="3"/>
  <c r="L17" i="3"/>
  <c r="H17" i="3"/>
  <c r="E17" i="3"/>
  <c r="AO16" i="3"/>
  <c r="AM16" i="3"/>
  <c r="AE16" i="3"/>
  <c r="AC16" i="3"/>
  <c r="AB16" i="3"/>
  <c r="Z16" i="3"/>
  <c r="T16" i="3"/>
  <c r="S16" i="3"/>
  <c r="Q16" i="3"/>
  <c r="N16" i="3"/>
  <c r="L16" i="3"/>
  <c r="H16" i="3"/>
  <c r="E16" i="3"/>
  <c r="C38" i="2"/>
  <c r="AN36" i="2"/>
  <c r="AO36" i="2" s="1"/>
  <c r="AL36" i="2"/>
  <c r="AK36" i="2"/>
  <c r="AJ36" i="2"/>
  <c r="AI36" i="2"/>
  <c r="AH36" i="2"/>
  <c r="AG36" i="2"/>
  <c r="AA36" i="2"/>
  <c r="AE36" i="2" s="1"/>
  <c r="Y36" i="2"/>
  <c r="X36" i="2"/>
  <c r="W36" i="2"/>
  <c r="V36" i="2"/>
  <c r="R36" i="2"/>
  <c r="P36" i="2"/>
  <c r="O36" i="2"/>
  <c r="N36" i="2"/>
  <c r="M36" i="2"/>
  <c r="K36" i="2"/>
  <c r="J36" i="2"/>
  <c r="I36" i="2"/>
  <c r="G36" i="2"/>
  <c r="F36" i="2"/>
  <c r="D36" i="2"/>
  <c r="C36" i="2"/>
  <c r="B36" i="2"/>
  <c r="AO35" i="2"/>
  <c r="AN35" i="5" s="1"/>
  <c r="AO35" i="5" s="1"/>
  <c r="AM35" i="2"/>
  <c r="AE35" i="2"/>
  <c r="AC35" i="2"/>
  <c r="AB35" i="2"/>
  <c r="Z35" i="2"/>
  <c r="T35" i="2"/>
  <c r="Q35" i="2"/>
  <c r="S35" i="2" s="1"/>
  <c r="N35" i="2"/>
  <c r="L35" i="2"/>
  <c r="H35" i="2"/>
  <c r="E35" i="2"/>
  <c r="AO34" i="2"/>
  <c r="AN34" i="5" s="1"/>
  <c r="AO34" i="5" s="1"/>
  <c r="AM34" i="2"/>
  <c r="AE34" i="2"/>
  <c r="AC34" i="2"/>
  <c r="AB34" i="2"/>
  <c r="Z34" i="2"/>
  <c r="T34" i="2"/>
  <c r="Q34" i="2"/>
  <c r="S34" i="2" s="1"/>
  <c r="N34" i="2"/>
  <c r="U34" i="2" s="1"/>
  <c r="L34" i="2"/>
  <c r="H34" i="2"/>
  <c r="E34" i="2"/>
  <c r="AO33" i="2"/>
  <c r="AN33" i="5" s="1"/>
  <c r="AO33" i="5" s="1"/>
  <c r="AM33" i="2"/>
  <c r="AE33" i="2"/>
  <c r="AC33" i="2"/>
  <c r="AB33" i="2"/>
  <c r="Z33" i="2"/>
  <c r="T33" i="2"/>
  <c r="Q33" i="2"/>
  <c r="S33" i="2" s="1"/>
  <c r="N33" i="2"/>
  <c r="L33" i="2"/>
  <c r="H33" i="2"/>
  <c r="E33" i="2"/>
  <c r="AO32" i="2"/>
  <c r="AN32" i="5" s="1"/>
  <c r="AO32" i="5" s="1"/>
  <c r="AM32" i="2"/>
  <c r="AE32" i="2"/>
  <c r="AC32" i="2"/>
  <c r="AB32" i="2"/>
  <c r="Z32" i="2"/>
  <c r="T32" i="2"/>
  <c r="Q32" i="2"/>
  <c r="S32" i="2" s="1"/>
  <c r="U32" i="2" s="1"/>
  <c r="N32" i="2"/>
  <c r="L32" i="2"/>
  <c r="H32" i="2"/>
  <c r="E32" i="2"/>
  <c r="AO31" i="2"/>
  <c r="AN31" i="5" s="1"/>
  <c r="AO31" i="5" s="1"/>
  <c r="AM31" i="2"/>
  <c r="AE31" i="2"/>
  <c r="AC31" i="2"/>
  <c r="AB31" i="2"/>
  <c r="Z31" i="2"/>
  <c r="T31" i="2"/>
  <c r="Q31" i="2"/>
  <c r="S31" i="2" s="1"/>
  <c r="N31" i="2"/>
  <c r="U31" i="2" s="1"/>
  <c r="L31" i="2"/>
  <c r="H31" i="2"/>
  <c r="E31" i="2"/>
  <c r="AO30" i="2"/>
  <c r="AN30" i="5" s="1"/>
  <c r="AO30" i="5" s="1"/>
  <c r="AM30" i="2"/>
  <c r="AE30" i="2"/>
  <c r="AC30" i="2"/>
  <c r="AB30" i="2"/>
  <c r="Z30" i="2"/>
  <c r="T30" i="2"/>
  <c r="Q30" i="2"/>
  <c r="S30" i="2" s="1"/>
  <c r="N30" i="2"/>
  <c r="U30" i="2" s="1"/>
  <c r="L30" i="2"/>
  <c r="H30" i="2"/>
  <c r="E30" i="2"/>
  <c r="AO29" i="2"/>
  <c r="AN29" i="5" s="1"/>
  <c r="AO29" i="5" s="1"/>
  <c r="AM29" i="2"/>
  <c r="AE29" i="2"/>
  <c r="AC29" i="2"/>
  <c r="AB29" i="2"/>
  <c r="Z29" i="2"/>
  <c r="T29" i="2"/>
  <c r="Q29" i="2"/>
  <c r="S29" i="2" s="1"/>
  <c r="N29" i="2"/>
  <c r="U29" i="2" s="1"/>
  <c r="L29" i="2"/>
  <c r="H29" i="2"/>
  <c r="E29" i="2"/>
  <c r="AO28" i="2"/>
  <c r="AN28" i="5" s="1"/>
  <c r="AO28" i="5" s="1"/>
  <c r="AM28" i="2"/>
  <c r="AE28" i="2"/>
  <c r="AC28" i="2"/>
  <c r="AB28" i="2"/>
  <c r="Z28" i="2"/>
  <c r="T28" i="2"/>
  <c r="Q28" i="2"/>
  <c r="S28" i="2" s="1"/>
  <c r="N28" i="2"/>
  <c r="U28" i="2" s="1"/>
  <c r="L28" i="2"/>
  <c r="H28" i="2"/>
  <c r="E28" i="2"/>
  <c r="AO27" i="2"/>
  <c r="AN27" i="5" s="1"/>
  <c r="AM27" i="2"/>
  <c r="AE27" i="2"/>
  <c r="AC27" i="2"/>
  <c r="AB27" i="2"/>
  <c r="Z27" i="2"/>
  <c r="T27" i="2"/>
  <c r="Q27" i="2"/>
  <c r="S27" i="2" s="1"/>
  <c r="N27" i="2"/>
  <c r="L27" i="2"/>
  <c r="H27" i="2"/>
  <c r="E27" i="2"/>
  <c r="AO26" i="2"/>
  <c r="AN26" i="5" s="1"/>
  <c r="AO26" i="5" s="1"/>
  <c r="AM26" i="2"/>
  <c r="AE26" i="2"/>
  <c r="AC26" i="2"/>
  <c r="AB26" i="2"/>
  <c r="Z26" i="2"/>
  <c r="T26" i="2"/>
  <c r="Q26" i="2"/>
  <c r="S26" i="2" s="1"/>
  <c r="N26" i="2"/>
  <c r="U26" i="2" s="1"/>
  <c r="L26" i="2"/>
  <c r="H26" i="2"/>
  <c r="E26" i="2"/>
  <c r="AO25" i="2"/>
  <c r="AN25" i="5" s="1"/>
  <c r="AM25" i="2"/>
  <c r="AE25" i="2"/>
  <c r="AC25" i="2"/>
  <c r="AB25" i="2"/>
  <c r="Z25" i="2"/>
  <c r="T25" i="2"/>
  <c r="Q25" i="2"/>
  <c r="S25" i="2" s="1"/>
  <c r="N25" i="2"/>
  <c r="L25" i="2"/>
  <c r="H25" i="2"/>
  <c r="E25" i="2"/>
  <c r="AO24" i="2"/>
  <c r="AN24" i="5" s="1"/>
  <c r="AM24" i="2"/>
  <c r="AE24" i="2"/>
  <c r="AC24" i="2"/>
  <c r="AB24" i="2"/>
  <c r="Z24" i="2"/>
  <c r="T24" i="2"/>
  <c r="Q24" i="2"/>
  <c r="S24" i="2" s="1"/>
  <c r="N24" i="2"/>
  <c r="L24" i="2"/>
  <c r="H24" i="2"/>
  <c r="E24" i="2"/>
  <c r="AO23" i="2"/>
  <c r="AN23" i="5" s="1"/>
  <c r="AO23" i="5" s="1"/>
  <c r="AM23" i="2"/>
  <c r="AE23" i="2"/>
  <c r="AC23" i="2"/>
  <c r="AB23" i="2"/>
  <c r="Z23" i="2"/>
  <c r="AD23" i="2" s="1"/>
  <c r="T23" i="2"/>
  <c r="S23" i="2"/>
  <c r="U23" i="2" s="1"/>
  <c r="Q23" i="2"/>
  <c r="N23" i="2"/>
  <c r="L23" i="2"/>
  <c r="H23" i="2"/>
  <c r="E23" i="2"/>
  <c r="AO22" i="2"/>
  <c r="AN22" i="5" s="1"/>
  <c r="AO22" i="5" s="1"/>
  <c r="AM22" i="2"/>
  <c r="AE22" i="2"/>
  <c r="AC22" i="2"/>
  <c r="AB22" i="2"/>
  <c r="Z22" i="2"/>
  <c r="AD22" i="2" s="1"/>
  <c r="U22" i="2"/>
  <c r="T22" i="2"/>
  <c r="S22" i="2"/>
  <c r="Q22" i="2"/>
  <c r="N22" i="2"/>
  <c r="L22" i="2"/>
  <c r="H22" i="2"/>
  <c r="E22" i="2"/>
  <c r="AO21" i="2"/>
  <c r="AN21" i="5" s="1"/>
  <c r="AM21" i="2"/>
  <c r="AE21" i="2"/>
  <c r="AC21" i="2"/>
  <c r="AB21" i="2"/>
  <c r="Z21" i="2"/>
  <c r="AD21" i="2" s="1"/>
  <c r="U21" i="2"/>
  <c r="T21" i="2"/>
  <c r="S21" i="2"/>
  <c r="Q21" i="2"/>
  <c r="N21" i="2"/>
  <c r="L21" i="2"/>
  <c r="H21" i="2"/>
  <c r="E21" i="2"/>
  <c r="AO20" i="2"/>
  <c r="AN20" i="5" s="1"/>
  <c r="AO20" i="5" s="1"/>
  <c r="AM20" i="2"/>
  <c r="AE20" i="2"/>
  <c r="AC20" i="2"/>
  <c r="AB20" i="2"/>
  <c r="Z20" i="2"/>
  <c r="AD20" i="2" s="1"/>
  <c r="T20" i="2"/>
  <c r="Q20" i="2"/>
  <c r="S20" i="2" s="1"/>
  <c r="U20" i="2" s="1"/>
  <c r="N20" i="2"/>
  <c r="L20" i="2"/>
  <c r="H20" i="2"/>
  <c r="E20" i="2"/>
  <c r="AO19" i="2"/>
  <c r="AN19" i="5" s="1"/>
  <c r="AO19" i="5" s="1"/>
  <c r="AM19" i="2"/>
  <c r="AF19" i="2"/>
  <c r="AE19" i="2"/>
  <c r="AC19" i="2"/>
  <c r="AB19" i="2"/>
  <c r="Z19" i="2"/>
  <c r="AD19" i="2" s="1"/>
  <c r="T19" i="2"/>
  <c r="Q19" i="2"/>
  <c r="S19" i="2" s="1"/>
  <c r="N19" i="2"/>
  <c r="L19" i="2"/>
  <c r="H19" i="2"/>
  <c r="E19" i="2"/>
  <c r="AO18" i="2"/>
  <c r="AN18" i="5" s="1"/>
  <c r="AO18" i="5" s="1"/>
  <c r="AM18" i="2"/>
  <c r="AE18" i="2"/>
  <c r="AC18" i="2"/>
  <c r="AB18" i="2"/>
  <c r="Z18" i="2"/>
  <c r="AD18" i="2" s="1"/>
  <c r="T18" i="2"/>
  <c r="Q18" i="2"/>
  <c r="S18" i="2" s="1"/>
  <c r="U18" i="2" s="1"/>
  <c r="N18" i="2"/>
  <c r="L18" i="2"/>
  <c r="H18" i="2"/>
  <c r="E18" i="2"/>
  <c r="AO17" i="2"/>
  <c r="AN17" i="5" s="1"/>
  <c r="AM17" i="2"/>
  <c r="AE17" i="2"/>
  <c r="AC17" i="2"/>
  <c r="AB17" i="2"/>
  <c r="Z17" i="2"/>
  <c r="AD17" i="2" s="1"/>
  <c r="T17" i="2"/>
  <c r="Q17" i="2"/>
  <c r="S17" i="2" s="1"/>
  <c r="N17" i="2"/>
  <c r="L17" i="2"/>
  <c r="AF17" i="2" s="1"/>
  <c r="H17" i="2"/>
  <c r="E17" i="2"/>
  <c r="AO16" i="2"/>
  <c r="AN16" i="5" s="1"/>
  <c r="AM16" i="2"/>
  <c r="AE16" i="2"/>
  <c r="AC16" i="2"/>
  <c r="AB16" i="2"/>
  <c r="Z16" i="2"/>
  <c r="AD16" i="2" s="1"/>
  <c r="Q16" i="2"/>
  <c r="N16" i="2"/>
  <c r="L16" i="2"/>
  <c r="H16" i="2"/>
  <c r="E16" i="2"/>
  <c r="AB36" i="8" l="1"/>
  <c r="AE36" i="8"/>
  <c r="L36" i="8"/>
  <c r="Q36" i="8"/>
  <c r="H36" i="8"/>
  <c r="E36" i="8"/>
  <c r="AC36" i="8"/>
  <c r="AM36" i="8"/>
  <c r="E20" i="5"/>
  <c r="AC20" i="5"/>
  <c r="H26" i="5"/>
  <c r="AB35" i="5"/>
  <c r="H18" i="5"/>
  <c r="H20" i="5"/>
  <c r="H21" i="5"/>
  <c r="Z28" i="5"/>
  <c r="H34" i="5"/>
  <c r="AE34" i="5"/>
  <c r="E23" i="5"/>
  <c r="Z31" i="5"/>
  <c r="AD31" i="5" s="1"/>
  <c r="AB22" i="5"/>
  <c r="L24" i="5"/>
  <c r="AC28" i="5"/>
  <c r="AB19" i="5"/>
  <c r="AB33" i="5"/>
  <c r="AM17" i="5"/>
  <c r="AC32" i="5"/>
  <c r="AB26" i="5"/>
  <c r="T17" i="5"/>
  <c r="T23" i="5"/>
  <c r="AB24" i="5"/>
  <c r="AF35" i="8"/>
  <c r="T36" i="8"/>
  <c r="Z36" i="8"/>
  <c r="H16" i="5"/>
  <c r="H36" i="5" s="1"/>
  <c r="U25" i="7"/>
  <c r="S36" i="7"/>
  <c r="AD36" i="7"/>
  <c r="AF36" i="7"/>
  <c r="C39" i="7"/>
  <c r="U16" i="7"/>
  <c r="U36" i="7" s="1"/>
  <c r="U28" i="5"/>
  <c r="BF26" i="6"/>
  <c r="X26" i="6"/>
  <c r="U19" i="5"/>
  <c r="U25" i="2"/>
  <c r="V36" i="5"/>
  <c r="AM18" i="6"/>
  <c r="Z36" i="3"/>
  <c r="AD36" i="3" s="1"/>
  <c r="AF34" i="4"/>
  <c r="AE35" i="6"/>
  <c r="AK35" i="6" s="1"/>
  <c r="AD26" i="3"/>
  <c r="AD30" i="4"/>
  <c r="H27" i="5"/>
  <c r="U17" i="2"/>
  <c r="BG31" i="6"/>
  <c r="AO24" i="5"/>
  <c r="AO25" i="5"/>
  <c r="AF17" i="3"/>
  <c r="AF27" i="3"/>
  <c r="AF22" i="4"/>
  <c r="AH36" i="5"/>
  <c r="AE24" i="5"/>
  <c r="H28" i="5"/>
  <c r="AE31" i="5"/>
  <c r="T33" i="5"/>
  <c r="AE21" i="6"/>
  <c r="AK21" i="6" s="1"/>
  <c r="R27" i="6"/>
  <c r="X27" i="6" s="1"/>
  <c r="AK30" i="6"/>
  <c r="AE31" i="6"/>
  <c r="AK31" i="6" s="1"/>
  <c r="AF33" i="4"/>
  <c r="Z29" i="5"/>
  <c r="AD29" i="5" s="1"/>
  <c r="BM37" i="6"/>
  <c r="AM18" i="5"/>
  <c r="Q21" i="5"/>
  <c r="S21" i="5" s="1"/>
  <c r="H30" i="5"/>
  <c r="Q36" i="2"/>
  <c r="AD31" i="3"/>
  <c r="AC34" i="5"/>
  <c r="AF16" i="2"/>
  <c r="AO27" i="5"/>
  <c r="AF22" i="3"/>
  <c r="AF23" i="3"/>
  <c r="U31" i="3"/>
  <c r="AF23" i="4"/>
  <c r="AF24" i="4"/>
  <c r="U30" i="4"/>
  <c r="AO36" i="4"/>
  <c r="Z18" i="5"/>
  <c r="AD18" i="5" s="1"/>
  <c r="Q20" i="5"/>
  <c r="S20" i="5" s="1"/>
  <c r="U20" i="5" s="1"/>
  <c r="Q23" i="5"/>
  <c r="S23" i="5" s="1"/>
  <c r="Z25" i="5"/>
  <c r="AF25" i="5" s="1"/>
  <c r="E26" i="5"/>
  <c r="AD32" i="5"/>
  <c r="H33" i="5"/>
  <c r="BC24" i="6"/>
  <c r="AE29" i="6"/>
  <c r="AK29" i="6" s="1"/>
  <c r="U24" i="2"/>
  <c r="AC25" i="5"/>
  <c r="U29" i="5"/>
  <c r="AE25" i="6"/>
  <c r="AK25" i="6" s="1"/>
  <c r="U33" i="3"/>
  <c r="AF35" i="4"/>
  <c r="W36" i="5"/>
  <c r="BF29" i="6"/>
  <c r="U22" i="3"/>
  <c r="AM36" i="4"/>
  <c r="U31" i="4"/>
  <c r="U32" i="4"/>
  <c r="O36" i="5"/>
  <c r="AE21" i="5"/>
  <c r="AM27" i="5"/>
  <c r="AE32" i="5"/>
  <c r="E34" i="5"/>
  <c r="BC32" i="6"/>
  <c r="U17" i="3"/>
  <c r="AC21" i="5"/>
  <c r="Q24" i="5"/>
  <c r="S24" i="5" s="1"/>
  <c r="U24" i="5" s="1"/>
  <c r="AO17" i="5"/>
  <c r="Q36" i="3"/>
  <c r="AF32" i="3"/>
  <c r="U33" i="4"/>
  <c r="B36" i="5"/>
  <c r="AE18" i="5"/>
  <c r="AB21" i="5"/>
  <c r="Z22" i="5"/>
  <c r="AE25" i="5"/>
  <c r="AD28" i="5"/>
  <c r="V37" i="6"/>
  <c r="AK20" i="6"/>
  <c r="AM20" i="6" s="1"/>
  <c r="X24" i="6"/>
  <c r="AM24" i="6" s="1"/>
  <c r="AK36" i="6"/>
  <c r="BD37" i="6"/>
  <c r="E17" i="5"/>
  <c r="BD22" i="6"/>
  <c r="U19" i="2"/>
  <c r="AC36" i="2"/>
  <c r="U25" i="3"/>
  <c r="AF35" i="3"/>
  <c r="AF16" i="4"/>
  <c r="AD35" i="4"/>
  <c r="I36" i="5"/>
  <c r="H17" i="5"/>
  <c r="AD17" i="5"/>
  <c r="U26" i="5"/>
  <c r="H31" i="5"/>
  <c r="AM34" i="5"/>
  <c r="Z35" i="5"/>
  <c r="AD35" i="5" s="1"/>
  <c r="BB29" i="6"/>
  <c r="AE32" i="6"/>
  <c r="AK32" i="6" s="1"/>
  <c r="AM32" i="6" s="1"/>
  <c r="U23" i="3"/>
  <c r="T36" i="3"/>
  <c r="U21" i="5"/>
  <c r="AF18" i="2"/>
  <c r="Z30" i="5"/>
  <c r="AD30" i="5" s="1"/>
  <c r="U33" i="2"/>
  <c r="AF16" i="3"/>
  <c r="AF30" i="3"/>
  <c r="AF17" i="4"/>
  <c r="AF18" i="4"/>
  <c r="AF19" i="4"/>
  <c r="U23" i="4"/>
  <c r="U24" i="4"/>
  <c r="J36" i="5"/>
  <c r="AB16" i="5"/>
  <c r="AE20" i="5"/>
  <c r="Q22" i="5"/>
  <c r="S22" i="5" s="1"/>
  <c r="U22" i="5" s="1"/>
  <c r="L27" i="5"/>
  <c r="AF27" i="5" s="1"/>
  <c r="Z27" i="5"/>
  <c r="AD27" i="5" s="1"/>
  <c r="AC30" i="5"/>
  <c r="BD21" i="6"/>
  <c r="AE22" i="6"/>
  <c r="AK22" i="6" s="1"/>
  <c r="AM26" i="6"/>
  <c r="E36" i="4"/>
  <c r="H36" i="2"/>
  <c r="U27" i="2"/>
  <c r="F36" i="5"/>
  <c r="Z34" i="5"/>
  <c r="AD34" i="5" s="1"/>
  <c r="AE33" i="6"/>
  <c r="AK33" i="6" s="1"/>
  <c r="Q25" i="5"/>
  <c r="S25" i="5" s="1"/>
  <c r="U25" i="5" s="1"/>
  <c r="BG23" i="6"/>
  <c r="AO21" i="5"/>
  <c r="Q36" i="4"/>
  <c r="AD32" i="4"/>
  <c r="Y36" i="5"/>
  <c r="L26" i="5"/>
  <c r="AF26" i="5" s="1"/>
  <c r="AE24" i="6"/>
  <c r="AK24" i="6" s="1"/>
  <c r="U35" i="2"/>
  <c r="E36" i="3"/>
  <c r="AM36" i="3"/>
  <c r="AF21" i="3"/>
  <c r="U30" i="3"/>
  <c r="AF20" i="4"/>
  <c r="AF21" i="4"/>
  <c r="U25" i="4"/>
  <c r="AG36" i="5"/>
  <c r="N37" i="6"/>
  <c r="BF25" i="6"/>
  <c r="AM27" i="6"/>
  <c r="BD29" i="6"/>
  <c r="X30" i="6"/>
  <c r="AM30" i="6" s="1"/>
  <c r="AM34" i="6"/>
  <c r="AO16" i="5"/>
  <c r="AN36" i="5"/>
  <c r="AO36" i="5" s="1"/>
  <c r="AD26" i="5"/>
  <c r="L36" i="2"/>
  <c r="AD31" i="2"/>
  <c r="AF31" i="2"/>
  <c r="AB36" i="2"/>
  <c r="U18" i="3"/>
  <c r="AF18" i="3"/>
  <c r="U24" i="3"/>
  <c r="U32" i="3"/>
  <c r="K36" i="5"/>
  <c r="AC16" i="5"/>
  <c r="L16" i="5"/>
  <c r="AM16" i="5"/>
  <c r="AI36" i="5"/>
  <c r="AC35" i="5"/>
  <c r="L35" i="5"/>
  <c r="AF35" i="5" s="1"/>
  <c r="AD28" i="2"/>
  <c r="AF28" i="2"/>
  <c r="AC36" i="3"/>
  <c r="U19" i="4"/>
  <c r="U27" i="4"/>
  <c r="U35" i="4"/>
  <c r="C36" i="5"/>
  <c r="E16" i="5"/>
  <c r="X36" i="5"/>
  <c r="Z16" i="5"/>
  <c r="AJ36" i="5"/>
  <c r="L18" i="5"/>
  <c r="AF18" i="5" s="1"/>
  <c r="AC18" i="5"/>
  <c r="T18" i="5"/>
  <c r="AC22" i="5"/>
  <c r="T22" i="5"/>
  <c r="L22" i="5"/>
  <c r="AC29" i="5"/>
  <c r="L29" i="5"/>
  <c r="AD26" i="2"/>
  <c r="AF26" i="2"/>
  <c r="S16" i="2"/>
  <c r="AM36" i="2"/>
  <c r="AF23" i="2"/>
  <c r="AD30" i="2"/>
  <c r="AF30" i="2"/>
  <c r="U21" i="3"/>
  <c r="U29" i="3"/>
  <c r="N36" i="4"/>
  <c r="U21" i="4"/>
  <c r="AD23" i="4"/>
  <c r="U29" i="4"/>
  <c r="AD31" i="4"/>
  <c r="AE16" i="5"/>
  <c r="AC33" i="5"/>
  <c r="L33" i="5"/>
  <c r="AD37" i="6"/>
  <c r="AD34" i="2"/>
  <c r="AF34" i="2"/>
  <c r="AD25" i="2"/>
  <c r="AF25" i="2"/>
  <c r="AD33" i="2"/>
  <c r="AF33" i="2"/>
  <c r="AD26" i="4"/>
  <c r="AD34" i="4"/>
  <c r="D36" i="5"/>
  <c r="BG37" i="6"/>
  <c r="T16" i="2"/>
  <c r="T36" i="2" s="1"/>
  <c r="AF22" i="2"/>
  <c r="AD27" i="2"/>
  <c r="AF27" i="2"/>
  <c r="AD35" i="2"/>
  <c r="AF35" i="2"/>
  <c r="Z36" i="2"/>
  <c r="AD36" i="2" s="1"/>
  <c r="U16" i="3"/>
  <c r="U20" i="3"/>
  <c r="U28" i="3"/>
  <c r="U18" i="4"/>
  <c r="AD20" i="4"/>
  <c r="U26" i="4"/>
  <c r="AD28" i="4"/>
  <c r="U34" i="4"/>
  <c r="P36" i="5"/>
  <c r="Q16" i="5"/>
  <c r="BG28" i="6"/>
  <c r="BD28" i="6"/>
  <c r="AD18" i="4"/>
  <c r="AF21" i="2"/>
  <c r="AD24" i="2"/>
  <c r="AF24" i="2"/>
  <c r="AD32" i="2"/>
  <c r="AF32" i="2"/>
  <c r="U27" i="3"/>
  <c r="U35" i="3"/>
  <c r="AD17" i="4"/>
  <c r="AD25" i="4"/>
  <c r="AD33" i="4"/>
  <c r="Z36" i="4"/>
  <c r="AD36" i="4" s="1"/>
  <c r="L19" i="5"/>
  <c r="AF19" i="5" s="1"/>
  <c r="AC19" i="5"/>
  <c r="T19" i="5"/>
  <c r="U23" i="5"/>
  <c r="AA36" i="5"/>
  <c r="E36" i="2"/>
  <c r="AF20" i="2"/>
  <c r="AD29" i="2"/>
  <c r="AF29" i="2"/>
  <c r="S36" i="3"/>
  <c r="U19" i="3"/>
  <c r="U26" i="3"/>
  <c r="U34" i="3"/>
  <c r="U20" i="4"/>
  <c r="U28" i="4"/>
  <c r="AC31" i="5"/>
  <c r="L31" i="5"/>
  <c r="BF18" i="6"/>
  <c r="AL19" i="6"/>
  <c r="AL37" i="6" s="1"/>
  <c r="Q37" i="6"/>
  <c r="AM21" i="6"/>
  <c r="AM22" i="6"/>
  <c r="BB31" i="6"/>
  <c r="AP37" i="6"/>
  <c r="AD16" i="3"/>
  <c r="AM21" i="5"/>
  <c r="AF24" i="5"/>
  <c r="AD24" i="5"/>
  <c r="AF29" i="5"/>
  <c r="AF31" i="5"/>
  <c r="AF33" i="5"/>
  <c r="E37" i="6"/>
  <c r="W37" i="6"/>
  <c r="BG20" i="6"/>
  <c r="BD20" i="6"/>
  <c r="BF28" i="6"/>
  <c r="AM35" i="6"/>
  <c r="N36" i="3"/>
  <c r="AB36" i="4"/>
  <c r="AM20" i="5"/>
  <c r="AF23" i="5"/>
  <c r="AD23" i="5"/>
  <c r="T28" i="5"/>
  <c r="E29" i="5"/>
  <c r="U30" i="5"/>
  <c r="E31" i="5"/>
  <c r="U32" i="5"/>
  <c r="E33" i="5"/>
  <c r="U34" i="5"/>
  <c r="E35" i="5"/>
  <c r="H37" i="6"/>
  <c r="AA37" i="6"/>
  <c r="AS37" i="6"/>
  <c r="BC37" i="6" s="1"/>
  <c r="BB19" i="6"/>
  <c r="AM29" i="6"/>
  <c r="R35" i="6"/>
  <c r="X35" i="6" s="1"/>
  <c r="BF36" i="6"/>
  <c r="AF21" i="5"/>
  <c r="AD21" i="5"/>
  <c r="T26" i="5"/>
  <c r="AC26" i="5"/>
  <c r="T30" i="5"/>
  <c r="T32" i="5"/>
  <c r="T34" i="5"/>
  <c r="R23" i="6"/>
  <c r="X23" i="6" s="1"/>
  <c r="AM23" i="6" s="1"/>
  <c r="BF24" i="6"/>
  <c r="BF27" i="6"/>
  <c r="BB27" i="6"/>
  <c r="BF33" i="6"/>
  <c r="BF34" i="6"/>
  <c r="BG36" i="6"/>
  <c r="BD36" i="6"/>
  <c r="S16" i="4"/>
  <c r="S36" i="4" s="1"/>
  <c r="M36" i="5"/>
  <c r="AK36" i="5"/>
  <c r="Q17" i="5"/>
  <c r="S17" i="5" s="1"/>
  <c r="U17" i="5" s="1"/>
  <c r="AF20" i="5"/>
  <c r="AD20" i="5"/>
  <c r="T24" i="5"/>
  <c r="AC24" i="5"/>
  <c r="AF28" i="5"/>
  <c r="L30" i="5"/>
  <c r="AF30" i="5" s="1"/>
  <c r="L32" i="5"/>
  <c r="AF32" i="5" s="1"/>
  <c r="L34" i="5"/>
  <c r="AF34" i="5" s="1"/>
  <c r="AI37" i="6"/>
  <c r="BF22" i="6"/>
  <c r="AM25" i="6"/>
  <c r="BC27" i="6"/>
  <c r="AK28" i="6"/>
  <c r="AM28" i="6" s="1"/>
  <c r="R31" i="6"/>
  <c r="X31" i="6" s="1"/>
  <c r="AM31" i="6" s="1"/>
  <c r="BF32" i="6"/>
  <c r="BF35" i="6"/>
  <c r="BB35" i="6"/>
  <c r="T16" i="4"/>
  <c r="T36" i="4" s="1"/>
  <c r="N36" i="5"/>
  <c r="AD19" i="5"/>
  <c r="AM24" i="5"/>
  <c r="U31" i="5"/>
  <c r="U33" i="5"/>
  <c r="U35" i="5"/>
  <c r="AJ37" i="6"/>
  <c r="BF21" i="6"/>
  <c r="BG24" i="6"/>
  <c r="BD24" i="6"/>
  <c r="AM33" i="6"/>
  <c r="BC35" i="6"/>
  <c r="AM36" i="6"/>
  <c r="BO37" i="6"/>
  <c r="G36" i="5"/>
  <c r="AE17" i="5"/>
  <c r="AM23" i="5"/>
  <c r="AM29" i="5"/>
  <c r="AM31" i="5"/>
  <c r="AM33" i="5"/>
  <c r="AM35" i="5"/>
  <c r="U37" i="6"/>
  <c r="R19" i="6"/>
  <c r="X19" i="6" s="1"/>
  <c r="BF20" i="6"/>
  <c r="BB23" i="6"/>
  <c r="BG32" i="6"/>
  <c r="BD32" i="6"/>
  <c r="K37" i="6"/>
  <c r="AE17" i="6"/>
  <c r="AC36" i="5" l="1"/>
  <c r="AF22" i="5"/>
  <c r="AD36" i="8"/>
  <c r="AF36" i="8"/>
  <c r="U36" i="8"/>
  <c r="S36" i="8"/>
  <c r="AE36" i="5"/>
  <c r="AB36" i="5"/>
  <c r="AD22" i="5"/>
  <c r="C39" i="4"/>
  <c r="AF36" i="4"/>
  <c r="BF23" i="6"/>
  <c r="AD25" i="5"/>
  <c r="X37" i="6"/>
  <c r="C39" i="3"/>
  <c r="AF36" i="3"/>
  <c r="BF31" i="6"/>
  <c r="AM19" i="6"/>
  <c r="AF17" i="5"/>
  <c r="S36" i="2"/>
  <c r="U16" i="2"/>
  <c r="U36" i="2" s="1"/>
  <c r="AE37" i="6"/>
  <c r="AK17" i="6"/>
  <c r="U16" i="4"/>
  <c r="U36" i="4" s="1"/>
  <c r="Z36" i="5"/>
  <c r="AD16" i="5"/>
  <c r="AF16" i="5"/>
  <c r="AM36" i="5"/>
  <c r="AF36" i="2"/>
  <c r="C39" i="2" s="1"/>
  <c r="BF17" i="6"/>
  <c r="R37" i="6"/>
  <c r="T16" i="5"/>
  <c r="T36" i="5" s="1"/>
  <c r="L36" i="5"/>
  <c r="BF19" i="6"/>
  <c r="BB37" i="6"/>
  <c r="Q36" i="5"/>
  <c r="S16" i="5"/>
  <c r="E36" i="5"/>
  <c r="U36" i="3"/>
  <c r="C39" i="8" l="1"/>
  <c r="BF37" i="6"/>
  <c r="AD36" i="5"/>
  <c r="AF36" i="5"/>
  <c r="AK37" i="6"/>
  <c r="AM17" i="6"/>
  <c r="AM37" i="6" s="1"/>
  <c r="S36" i="5"/>
  <c r="U16" i="5"/>
  <c r="U36" i="5" s="1"/>
  <c r="C40" i="6"/>
  <c r="C39" i="5" l="1"/>
</calcChain>
</file>

<file path=xl/sharedStrings.xml><?xml version="1.0" encoding="utf-8"?>
<sst xmlns="http://schemas.openxmlformats.org/spreadsheetml/2006/main" count="565" uniqueCount="104">
  <si>
    <t>REPUBLIC OF THE PHILIPPINES</t>
  </si>
  <si>
    <t xml:space="preserve">DEPARTMENT OF HEALTH </t>
  </si>
  <si>
    <t>National Rabies Prevention and Control Program</t>
  </si>
  <si>
    <t>Animal Bite and Rabies Report Form</t>
  </si>
  <si>
    <t xml:space="preserve">Period (Quarter, Year): </t>
  </si>
  <si>
    <t>Quarter 1, 2026</t>
  </si>
  <si>
    <r>
      <rPr>
        <b/>
        <i/>
        <sz val="9"/>
        <color rgb="FF000000"/>
        <rFont val="Arial"/>
        <family val="2"/>
      </rPr>
      <t xml:space="preserve">IMPORTANT REMINDERS
1. Do NOT edit cells highlighted in green as their values are automatically computed.
2. Ensure totals of age, sex, animal bite cases, and biting animals are equal. Ensure all PEP coverage does not exceed 100%. 
3. Submit the completed form signed by the Provincial Health Officer (PHO) to idc@mimaropa.doh.gov.ph by the 10th day of the month of the succeeding quarter (e.g., submit 2026 Q1 data by  </t>
    </r>
    <r>
      <rPr>
        <b/>
        <i/>
        <sz val="9"/>
        <color rgb="FFFF0000"/>
        <rFont val="Arial"/>
        <family val="2"/>
      </rPr>
      <t xml:space="preserve">April 10, 2026).
</t>
    </r>
  </si>
  <si>
    <t>LOCATION
(Municipality/City)</t>
  </si>
  <si>
    <t>TOTAL POPULATION</t>
  </si>
  <si>
    <t>ANIMAL BITE CASES</t>
  </si>
  <si>
    <t>POST-EXPOSURE PROPHYLAXIS (PEP)</t>
  </si>
  <si>
    <t>BITING ANIMALS (7)</t>
  </si>
  <si>
    <t>HUMAN RABIES CASES</t>
  </si>
  <si>
    <t>Sex</t>
  </si>
  <si>
    <t>Age</t>
  </si>
  <si>
    <t>Category</t>
  </si>
  <si>
    <t>PEP Completed**</t>
  </si>
  <si>
    <t>PEP Coverage</t>
  </si>
  <si>
    <t>Type</t>
  </si>
  <si>
    <t>Status</t>
  </si>
  <si>
    <t>Total</t>
  </si>
  <si>
    <t>Cases
(PIDSR c/o RESU)</t>
  </si>
  <si>
    <t>Incidence Proportion
(per 10⁶)</t>
  </si>
  <si>
    <t>Male</t>
  </si>
  <si>
    <t>Female</t>
  </si>
  <si>
    <t>&lt;15</t>
  </si>
  <si>
    <t>&gt;15</t>
  </si>
  <si>
    <t xml:space="preserve">Category I (1) </t>
  </si>
  <si>
    <t>Category II</t>
  </si>
  <si>
    <t>Category III</t>
  </si>
  <si>
    <t>Total PEP eligible</t>
  </si>
  <si>
    <t>Total
(Cat I+II+III)</t>
  </si>
  <si>
    <t>Category II (4)</t>
  </si>
  <si>
    <t>Category III (6)</t>
  </si>
  <si>
    <t>Total CCEEV Coverage</t>
  </si>
  <si>
    <t>Dog
(7a)</t>
  </si>
  <si>
    <t>Cat
(7b)</t>
  </si>
  <si>
    <t>Others
(7c)</t>
  </si>
  <si>
    <t>Pet/
Domestic</t>
  </si>
  <si>
    <t>Stray/
Free-roaming</t>
  </si>
  <si>
    <t>Unknown</t>
  </si>
  <si>
    <t>PEP eligible</t>
  </si>
  <si>
    <t>PEP non-eligible*</t>
  </si>
  <si>
    <t>Total (2)</t>
  </si>
  <si>
    <t>Total (5)</t>
  </si>
  <si>
    <t>Primary
(CCEEV)</t>
  </si>
  <si>
    <t>Booster
(CCEEV)</t>
  </si>
  <si>
    <t>Primary
(CCEEV+RIG)</t>
  </si>
  <si>
    <t>Booster
(CCEEV only)</t>
  </si>
  <si>
    <t>Primary
(CCEEV+RIG)
(6a)</t>
  </si>
  <si>
    <t>Booster
(CCEEV only)
(6b)</t>
  </si>
  <si>
    <t>Total (3)</t>
  </si>
  <si>
    <t>ERIG</t>
  </si>
  <si>
    <t>HRIG</t>
  </si>
  <si>
    <t>TOTAL</t>
  </si>
  <si>
    <t>DATA VALIDATION</t>
  </si>
  <si>
    <r>
      <rPr>
        <i/>
        <sz val="9"/>
        <color theme="1"/>
        <rFont val="Arial"/>
        <family val="2"/>
      </rPr>
      <t xml:space="preserve">* PEP (CCEEV ± RIG) non-eligible:
Immunologically-naive (Category II): Exposure of a </t>
    </r>
    <r>
      <rPr>
        <b/>
        <i/>
        <sz val="9"/>
        <color theme="1"/>
        <rFont val="Arial"/>
        <family val="2"/>
      </rPr>
      <t>non-immunocompromised</t>
    </r>
    <r>
      <rPr>
        <i/>
        <sz val="9"/>
        <color theme="1"/>
        <rFont val="Arial"/>
        <family val="2"/>
      </rPr>
      <t xml:space="preserve"> individual to a vaccinated animal (as defined in the AO) that is available for observation for 14 days, EXCEPT if any high-risk criteria are present.
Previously-immunized (Category II &amp; III): Exposure of a </t>
    </r>
    <r>
      <rPr>
        <b/>
        <i/>
        <sz val="9"/>
        <color theme="1"/>
        <rFont val="Arial"/>
        <family val="2"/>
      </rPr>
      <t xml:space="preserve">non-immunocompromised individual </t>
    </r>
    <r>
      <rPr>
        <i/>
        <sz val="9"/>
        <color theme="1"/>
        <rFont val="Arial"/>
        <family val="2"/>
      </rPr>
      <t xml:space="preserve">who completed at least three (3) doses of anti-rabies vaccine within the last six (6) months, EXCEPT if any high-risk criteria are present.
</t>
    </r>
    <r>
      <rPr>
        <b/>
        <i/>
        <sz val="9"/>
        <color theme="1"/>
        <rFont val="Arial"/>
        <family val="2"/>
      </rPr>
      <t xml:space="preserve">High-risk criteria:    </t>
    </r>
    <r>
      <rPr>
        <i/>
        <sz val="9"/>
        <color theme="1"/>
        <rFont val="Arial"/>
        <family val="2"/>
      </rPr>
      <t xml:space="preserve">1. Vaccinated &gt;6 months ago with ≥3 doses
                                  2. Biting animal cannot be observed, is sick or rabid, dies, or is a bat
                                  3. Wounds in highly innervated areas (neck, head, genital area, hands, toes, or in very close proximity to the CNS)
                                  4. Multiple or deep wounds
                                  5. Patient has uncontrolled co-morbidities
                                  6. Patient is from a hard-to-reach area with infrequent transportation to and from ABTC/ABC
**Case count of those who completed PEP (CCEEV ± RIG), not number of doses/vials
</t>
    </r>
    <r>
      <rPr>
        <b/>
        <i/>
        <sz val="9"/>
        <color theme="1"/>
        <rFont val="Arial"/>
        <family val="2"/>
      </rPr>
      <t xml:space="preserve">
FORM GUIDE:</t>
    </r>
    <r>
      <rPr>
        <i/>
        <sz val="9"/>
        <color theme="1"/>
        <rFont val="Arial"/>
        <family val="2"/>
      </rPr>
      <t xml:space="preserve"> </t>
    </r>
    <r>
      <rPr>
        <i/>
        <u/>
        <sz val="9"/>
        <color rgb="FF1155CC"/>
        <rFont val="Arial"/>
        <family val="2"/>
      </rPr>
      <t>tinyurl.com/AnimalBiteRFGuide</t>
    </r>
    <r>
      <rPr>
        <i/>
        <sz val="9"/>
        <color theme="1"/>
        <rFont val="Arial"/>
        <family val="2"/>
      </rPr>
      <t xml:space="preserve">              </t>
    </r>
    <r>
      <rPr>
        <b/>
        <i/>
        <sz val="9"/>
        <color theme="1"/>
        <rFont val="Arial"/>
        <family val="2"/>
      </rPr>
      <t xml:space="preserve"> PEP DECISION TREE:</t>
    </r>
    <r>
      <rPr>
        <i/>
        <sz val="9"/>
        <color theme="1"/>
        <rFont val="Arial"/>
        <family val="2"/>
      </rPr>
      <t xml:space="preserve"> </t>
    </r>
    <r>
      <rPr>
        <i/>
        <u/>
        <sz val="9"/>
        <color rgb="FF1155CC"/>
        <rFont val="Arial"/>
        <family val="2"/>
      </rPr>
      <t>tinyurl.com/RabiesPEPDecisionTree</t>
    </r>
    <r>
      <rPr>
        <i/>
        <sz val="9"/>
        <color theme="1"/>
        <rFont val="Arial"/>
        <family val="2"/>
      </rPr>
      <t xml:space="preserve"> </t>
    </r>
  </si>
  <si>
    <r>
      <rPr>
        <i/>
        <sz val="10"/>
        <color theme="1"/>
        <rFont val="Arial"/>
        <family val="2"/>
      </rPr>
      <t xml:space="preserve">Prepared by:
</t>
    </r>
    <r>
      <rPr>
        <b/>
        <i/>
        <sz val="10"/>
        <color theme="1"/>
        <rFont val="Arial"/>
        <family val="2"/>
      </rPr>
      <t>INSERT NAME</t>
    </r>
    <r>
      <rPr>
        <i/>
        <sz val="10"/>
        <color theme="1"/>
        <rFont val="Arial"/>
        <family val="2"/>
      </rPr>
      <t xml:space="preserve">
NRCP Regional Program Manager</t>
    </r>
  </si>
  <si>
    <r>
      <rPr>
        <i/>
        <sz val="10"/>
        <color theme="1"/>
        <rFont val="Arial"/>
        <family val="2"/>
      </rPr>
      <t xml:space="preserve">Reviewed by:
</t>
    </r>
    <r>
      <rPr>
        <b/>
        <i/>
        <sz val="10"/>
        <color theme="1"/>
        <rFont val="Arial"/>
        <family val="2"/>
      </rPr>
      <t xml:space="preserve">INSERT NAME
</t>
    </r>
    <r>
      <rPr>
        <i/>
        <sz val="10"/>
        <color theme="1"/>
        <rFont val="Arial"/>
        <family val="2"/>
      </rPr>
      <t>Infectious Disease Cluster Head</t>
    </r>
  </si>
  <si>
    <r>
      <rPr>
        <i/>
        <sz val="10"/>
        <color theme="1"/>
        <rFont val="Arial"/>
        <family val="2"/>
      </rPr>
      <t xml:space="preserve">Approved by:
</t>
    </r>
    <r>
      <rPr>
        <b/>
        <i/>
        <sz val="10"/>
        <color theme="1"/>
        <rFont val="Arial"/>
        <family val="2"/>
      </rPr>
      <t>INSERT NAME</t>
    </r>
    <r>
      <rPr>
        <i/>
        <sz val="10"/>
        <color theme="1"/>
        <rFont val="Arial"/>
        <family val="2"/>
      </rPr>
      <t xml:space="preserve">
CHD Regional Director</t>
    </r>
  </si>
  <si>
    <t>Quarter 2, 2026</t>
  </si>
  <si>
    <r>
      <rPr>
        <b/>
        <i/>
        <sz val="9"/>
        <color rgb="FF000000"/>
        <rFont val="Arial"/>
        <family val="2"/>
      </rPr>
      <t>IMPORTANT REMINDERS
1. Do NOT edit cells highlighted in green as their values are automatically computed.
2. Ensure totals of age, sex, animal bite cases, and biting animals are equal. Ensure all PEP coverage does not exceed 100%. 
3. Submit the completed form signed by the Provincial Health Officer (PHO) to idc@mimaropa.doh.gov.ph by the 10th day of the month of the succeeding quarter (e.g., submit 2026 Q2 data by</t>
    </r>
    <r>
      <rPr>
        <b/>
        <i/>
        <sz val="9"/>
        <color rgb="FFFF0000"/>
        <rFont val="Arial"/>
        <family val="2"/>
      </rPr>
      <t xml:space="preserve">  July 10, 2026).</t>
    </r>
    <r>
      <rPr>
        <b/>
        <i/>
        <sz val="9"/>
        <color rgb="FF000000"/>
        <rFont val="Arial"/>
        <family val="2"/>
      </rPr>
      <t xml:space="preserve">
</t>
    </r>
  </si>
  <si>
    <r>
      <rPr>
        <i/>
        <sz val="9"/>
        <color theme="1"/>
        <rFont val="Arial"/>
        <family val="2"/>
      </rPr>
      <t xml:space="preserve">* PEP (CCEEV ± RIG) non-eligible:
Immunologically-naive (Category II): Exposure of a </t>
    </r>
    <r>
      <rPr>
        <b/>
        <i/>
        <sz val="9"/>
        <color theme="1"/>
        <rFont val="Arial"/>
        <family val="2"/>
      </rPr>
      <t>non-immunocompromised</t>
    </r>
    <r>
      <rPr>
        <i/>
        <sz val="9"/>
        <color theme="1"/>
        <rFont val="Arial"/>
        <family val="2"/>
      </rPr>
      <t xml:space="preserve"> individual to a vaccinated animal (as defined in the AO) that is available for observation for 14 days, EXCEPT if any high-risk criteria are present.
Previously-immunized (Category II &amp; III): Exposure of a </t>
    </r>
    <r>
      <rPr>
        <b/>
        <i/>
        <sz val="9"/>
        <color theme="1"/>
        <rFont val="Arial"/>
        <family val="2"/>
      </rPr>
      <t xml:space="preserve">non-immunocompromised individual </t>
    </r>
    <r>
      <rPr>
        <i/>
        <sz val="9"/>
        <color theme="1"/>
        <rFont val="Arial"/>
        <family val="2"/>
      </rPr>
      <t xml:space="preserve">who completed at least three (3) doses of anti-rabies vaccine within the last six (6) months, EXCEPT if any high-risk criteria are present.
</t>
    </r>
    <r>
      <rPr>
        <b/>
        <i/>
        <sz val="9"/>
        <color theme="1"/>
        <rFont val="Arial"/>
        <family val="2"/>
      </rPr>
      <t xml:space="preserve">High-risk criteria:    </t>
    </r>
    <r>
      <rPr>
        <i/>
        <sz val="9"/>
        <color theme="1"/>
        <rFont val="Arial"/>
        <family val="2"/>
      </rPr>
      <t xml:space="preserve">1. Vaccinated &gt;6 months ago with ≥3 doses
                                  2. Biting animal cannot be observed, is sick or rabid, dies, or is a bat
                                  3. Wounds in highly innervated areas (neck, head, genital area, hands, toes, or in very close proximity to the CNS)
                                  4. Multiple or deep wounds
                                  5. Patient has uncontrolled co-morbidities
                                  6. Patient is from a hard-to-reach area with infrequent transportation to and from ABTC/ABC
**Case count of those who completed PEP (CCEEV ± RIG), not number of doses/vials
</t>
    </r>
    <r>
      <rPr>
        <b/>
        <i/>
        <sz val="9"/>
        <color theme="1"/>
        <rFont val="Arial"/>
        <family val="2"/>
      </rPr>
      <t xml:space="preserve">
FORM GUIDE:</t>
    </r>
    <r>
      <rPr>
        <i/>
        <sz val="9"/>
        <color theme="1"/>
        <rFont val="Arial"/>
        <family val="2"/>
      </rPr>
      <t xml:space="preserve"> </t>
    </r>
    <r>
      <rPr>
        <i/>
        <u/>
        <sz val="9"/>
        <color rgb="FF1155CC"/>
        <rFont val="Arial"/>
        <family val="2"/>
      </rPr>
      <t>tinyurl.com/AnimalBiteRFGuide</t>
    </r>
    <r>
      <rPr>
        <i/>
        <sz val="9"/>
        <color theme="1"/>
        <rFont val="Arial"/>
        <family val="2"/>
      </rPr>
      <t xml:space="preserve">              </t>
    </r>
    <r>
      <rPr>
        <b/>
        <i/>
        <sz val="9"/>
        <color theme="1"/>
        <rFont val="Arial"/>
        <family val="2"/>
      </rPr>
      <t xml:space="preserve"> PEP DECISION TREE:</t>
    </r>
    <r>
      <rPr>
        <i/>
        <sz val="9"/>
        <color theme="1"/>
        <rFont val="Arial"/>
        <family val="2"/>
      </rPr>
      <t xml:space="preserve"> </t>
    </r>
    <r>
      <rPr>
        <i/>
        <u/>
        <sz val="9"/>
        <color rgb="FF1155CC"/>
        <rFont val="Arial"/>
        <family val="2"/>
      </rPr>
      <t>tinyurl.com/RabiesPEPDecisionTree</t>
    </r>
    <r>
      <rPr>
        <i/>
        <sz val="9"/>
        <color theme="1"/>
        <rFont val="Arial"/>
        <family val="2"/>
      </rPr>
      <t xml:space="preserve"> </t>
    </r>
  </si>
  <si>
    <r>
      <rPr>
        <i/>
        <sz val="10"/>
        <color theme="1"/>
        <rFont val="Arial"/>
        <family val="2"/>
      </rPr>
      <t xml:space="preserve">Prepared by:
</t>
    </r>
    <r>
      <rPr>
        <b/>
        <i/>
        <sz val="10"/>
        <color theme="1"/>
        <rFont val="Arial"/>
        <family val="2"/>
      </rPr>
      <t>INSERT NAME</t>
    </r>
    <r>
      <rPr>
        <i/>
        <sz val="10"/>
        <color theme="1"/>
        <rFont val="Arial"/>
        <family val="2"/>
      </rPr>
      <t xml:space="preserve">
NRCP Regional Program Manager</t>
    </r>
  </si>
  <si>
    <r>
      <rPr>
        <i/>
        <sz val="10"/>
        <color theme="1"/>
        <rFont val="Arial"/>
        <family val="2"/>
      </rPr>
      <t xml:space="preserve">Reviewed by:
</t>
    </r>
    <r>
      <rPr>
        <b/>
        <i/>
        <sz val="10"/>
        <color theme="1"/>
        <rFont val="Arial"/>
        <family val="2"/>
      </rPr>
      <t xml:space="preserve">INSERT NAME
</t>
    </r>
    <r>
      <rPr>
        <i/>
        <sz val="10"/>
        <color theme="1"/>
        <rFont val="Arial"/>
        <family val="2"/>
      </rPr>
      <t>Infectious Disease Cluster Head</t>
    </r>
  </si>
  <si>
    <r>
      <rPr>
        <i/>
        <sz val="10"/>
        <color theme="1"/>
        <rFont val="Arial"/>
        <family val="2"/>
      </rPr>
      <t xml:space="preserve">Approved by:
</t>
    </r>
    <r>
      <rPr>
        <b/>
        <i/>
        <sz val="10"/>
        <color theme="1"/>
        <rFont val="Arial"/>
        <family val="2"/>
      </rPr>
      <t>INSERT NAME</t>
    </r>
    <r>
      <rPr>
        <i/>
        <sz val="10"/>
        <color theme="1"/>
        <rFont val="Arial"/>
        <family val="2"/>
      </rPr>
      <t xml:space="preserve">
CHD Regional Director</t>
    </r>
  </si>
  <si>
    <t>Quarter 3, 2026</t>
  </si>
  <si>
    <r>
      <rPr>
        <b/>
        <i/>
        <sz val="9"/>
        <color rgb="FF000000"/>
        <rFont val="Arial"/>
        <family val="2"/>
      </rPr>
      <t xml:space="preserve">IMPORTANT REMINDERS
1. Do NOT edit cells highlighted in green as their values are automatically computed.
2. Ensure totals of age, sex, animal bite cases, and biting animals are equal. Ensure all PEP coverage does not exceed 100%. 
3. Submit the completed form signed by the Provincial Health Officer (PHO) to idc@mimaropa.doh.gov.ph by the 10th day of the month of the succeeding quarter (e.g., submit 2026 Q3 data by  </t>
    </r>
    <r>
      <rPr>
        <b/>
        <i/>
        <sz val="9"/>
        <color rgb="FFFF0000"/>
        <rFont val="Arial"/>
        <family val="2"/>
      </rPr>
      <t xml:space="preserve">October 10, 2026).
</t>
    </r>
  </si>
  <si>
    <r>
      <rPr>
        <i/>
        <sz val="9"/>
        <color theme="1"/>
        <rFont val="Arial"/>
        <family val="2"/>
      </rPr>
      <t xml:space="preserve">* PEP (CCEEV ± RIG) non-eligible:
Immunologically-naive (Category II): Exposure of a </t>
    </r>
    <r>
      <rPr>
        <b/>
        <i/>
        <sz val="9"/>
        <color theme="1"/>
        <rFont val="Arial"/>
        <family val="2"/>
      </rPr>
      <t>non-immunocompromised</t>
    </r>
    <r>
      <rPr>
        <i/>
        <sz val="9"/>
        <color theme="1"/>
        <rFont val="Arial"/>
        <family val="2"/>
      </rPr>
      <t xml:space="preserve"> individual to a vaccinated animal (as defined in the AO) that is available for observation for 14 days, EXCEPT if any high-risk criteria are present.
Previously-immunized (Category II &amp; III): Exposure of a </t>
    </r>
    <r>
      <rPr>
        <b/>
        <i/>
        <sz val="9"/>
        <color theme="1"/>
        <rFont val="Arial"/>
        <family val="2"/>
      </rPr>
      <t xml:space="preserve">non-immunocompromised individual </t>
    </r>
    <r>
      <rPr>
        <i/>
        <sz val="9"/>
        <color theme="1"/>
        <rFont val="Arial"/>
        <family val="2"/>
      </rPr>
      <t xml:space="preserve">who completed at least three (3) doses of anti-rabies vaccine within the last six (6) months, EXCEPT if any high-risk criteria are present.
</t>
    </r>
    <r>
      <rPr>
        <b/>
        <i/>
        <sz val="9"/>
        <color theme="1"/>
        <rFont val="Arial"/>
        <family val="2"/>
      </rPr>
      <t xml:space="preserve">High-risk criteria:    </t>
    </r>
    <r>
      <rPr>
        <i/>
        <sz val="9"/>
        <color theme="1"/>
        <rFont val="Arial"/>
        <family val="2"/>
      </rPr>
      <t xml:space="preserve">1. Vaccinated &gt;6 months ago with ≥3 doses
                                  2. Biting animal cannot be observed, is sick or rabid, dies, or is a bat
                                  3. Wounds in highly innervated areas (neck, head, genital area, hands, toes, or in very close proximity to the CNS)
                                  4. Multiple or deep wounds
                                  5. Patient has uncontrolled co-morbidities
                                  6. Patient is from a hard-to-reach area with infrequent transportation to and from ABTC/ABC
**Case count of those who completed PEP (CCEEV ± RIG), not number of doses/vials
</t>
    </r>
    <r>
      <rPr>
        <b/>
        <i/>
        <sz val="9"/>
        <color theme="1"/>
        <rFont val="Arial"/>
        <family val="2"/>
      </rPr>
      <t xml:space="preserve">
FORM GUIDE:</t>
    </r>
    <r>
      <rPr>
        <i/>
        <sz val="9"/>
        <color theme="1"/>
        <rFont val="Arial"/>
        <family val="2"/>
      </rPr>
      <t xml:space="preserve"> </t>
    </r>
    <r>
      <rPr>
        <i/>
        <u/>
        <sz val="9"/>
        <color rgb="FF1155CC"/>
        <rFont val="Arial"/>
        <family val="2"/>
      </rPr>
      <t>tinyurl.com/AnimalBiteRFGuide</t>
    </r>
    <r>
      <rPr>
        <i/>
        <sz val="9"/>
        <color theme="1"/>
        <rFont val="Arial"/>
        <family val="2"/>
      </rPr>
      <t xml:space="preserve">              </t>
    </r>
    <r>
      <rPr>
        <b/>
        <i/>
        <sz val="9"/>
        <color theme="1"/>
        <rFont val="Arial"/>
        <family val="2"/>
      </rPr>
      <t xml:space="preserve"> PEP DECISION TREE:</t>
    </r>
    <r>
      <rPr>
        <i/>
        <sz val="9"/>
        <color theme="1"/>
        <rFont val="Arial"/>
        <family val="2"/>
      </rPr>
      <t xml:space="preserve"> </t>
    </r>
    <r>
      <rPr>
        <i/>
        <u/>
        <sz val="9"/>
        <color rgb="FF1155CC"/>
        <rFont val="Arial"/>
        <family val="2"/>
      </rPr>
      <t>tinyurl.com/RabiesPEPDecisionTree</t>
    </r>
    <r>
      <rPr>
        <i/>
        <sz val="9"/>
        <color theme="1"/>
        <rFont val="Arial"/>
        <family val="2"/>
      </rPr>
      <t xml:space="preserve"> </t>
    </r>
  </si>
  <si>
    <r>
      <rPr>
        <i/>
        <sz val="10"/>
        <color theme="1"/>
        <rFont val="Arial"/>
        <family val="2"/>
      </rPr>
      <t xml:space="preserve">Prepared by:
</t>
    </r>
    <r>
      <rPr>
        <b/>
        <i/>
        <sz val="10"/>
        <color theme="1"/>
        <rFont val="Arial"/>
        <family val="2"/>
      </rPr>
      <t>INSERT NAME</t>
    </r>
    <r>
      <rPr>
        <i/>
        <sz val="10"/>
        <color theme="1"/>
        <rFont val="Arial"/>
        <family val="2"/>
      </rPr>
      <t xml:space="preserve">
NRCP Regional Program Manager</t>
    </r>
  </si>
  <si>
    <r>
      <rPr>
        <i/>
        <sz val="10"/>
        <color theme="1"/>
        <rFont val="Arial"/>
        <family val="2"/>
      </rPr>
      <t xml:space="preserve">Reviewed by:
</t>
    </r>
    <r>
      <rPr>
        <b/>
        <i/>
        <sz val="10"/>
        <color theme="1"/>
        <rFont val="Arial"/>
        <family val="2"/>
      </rPr>
      <t xml:space="preserve">INSERT NAME
</t>
    </r>
    <r>
      <rPr>
        <i/>
        <sz val="10"/>
        <color theme="1"/>
        <rFont val="Arial"/>
        <family val="2"/>
      </rPr>
      <t>Infectious Disease Cluster Head</t>
    </r>
  </si>
  <si>
    <r>
      <rPr>
        <i/>
        <sz val="10"/>
        <color theme="1"/>
        <rFont val="Arial"/>
        <family val="2"/>
      </rPr>
      <t xml:space="preserve">Approved by:
</t>
    </r>
    <r>
      <rPr>
        <b/>
        <i/>
        <sz val="10"/>
        <color theme="1"/>
        <rFont val="Arial"/>
        <family val="2"/>
      </rPr>
      <t>INSERT NAME</t>
    </r>
    <r>
      <rPr>
        <i/>
        <sz val="10"/>
        <color theme="1"/>
        <rFont val="Arial"/>
        <family val="2"/>
      </rPr>
      <t xml:space="preserve">
CHD Regional Director</t>
    </r>
  </si>
  <si>
    <t>Quarter 4, 2026</t>
  </si>
  <si>
    <r>
      <rPr>
        <b/>
        <i/>
        <sz val="9"/>
        <color rgb="FF000000"/>
        <rFont val="Arial"/>
        <family val="2"/>
      </rPr>
      <t xml:space="preserve">IMPORTANT REMINDERS
1. Do NOT edit cells highlighted in green as their values are automatically computed.
2. Ensure totals of age, sex, animal bite cases, and biting animals are equal. Ensure all PEP coverage does not exceed 100%. 
3. Submit the completed form signed by the Provincial Health Officer (PHO) to idc@mimaropa.doh.gov.ph by the 10th day of the month of the succeeding quarter (e.g., submit 2026 4 data by </t>
    </r>
    <r>
      <rPr>
        <b/>
        <i/>
        <sz val="9"/>
        <color rgb="FFFF0000"/>
        <rFont val="Arial"/>
        <family val="2"/>
      </rPr>
      <t xml:space="preserve"> January 10, 2027).
</t>
    </r>
  </si>
  <si>
    <r>
      <rPr>
        <i/>
        <sz val="9"/>
        <color theme="1"/>
        <rFont val="Arial"/>
        <family val="2"/>
      </rPr>
      <t xml:space="preserve">* PEP (CCEEV ± RIG) non-eligible:
Immunologically-naive (Category II): Exposure of a </t>
    </r>
    <r>
      <rPr>
        <b/>
        <i/>
        <sz val="9"/>
        <color theme="1"/>
        <rFont val="Arial"/>
        <family val="2"/>
      </rPr>
      <t>non-immunocompromised</t>
    </r>
    <r>
      <rPr>
        <i/>
        <sz val="9"/>
        <color theme="1"/>
        <rFont val="Arial"/>
        <family val="2"/>
      </rPr>
      <t xml:space="preserve"> individual to a vaccinated animal (as defined in the AO) that is available for observation for 14 days, EXCEPT if any high-risk criteria are present.
Previously-immunized (Category II &amp; III): Exposure of a </t>
    </r>
    <r>
      <rPr>
        <b/>
        <i/>
        <sz val="9"/>
        <color theme="1"/>
        <rFont val="Arial"/>
        <family val="2"/>
      </rPr>
      <t xml:space="preserve">non-immunocompromised individual </t>
    </r>
    <r>
      <rPr>
        <i/>
        <sz val="9"/>
        <color theme="1"/>
        <rFont val="Arial"/>
        <family val="2"/>
      </rPr>
      <t xml:space="preserve">who completed at least three (3) doses of anti-rabies vaccine within the last six (6) months, EXCEPT if any high-risk criteria are present.
</t>
    </r>
    <r>
      <rPr>
        <b/>
        <i/>
        <sz val="9"/>
        <color theme="1"/>
        <rFont val="Arial"/>
        <family val="2"/>
      </rPr>
      <t xml:space="preserve">High-risk criteria:    </t>
    </r>
    <r>
      <rPr>
        <i/>
        <sz val="9"/>
        <color theme="1"/>
        <rFont val="Arial"/>
        <family val="2"/>
      </rPr>
      <t xml:space="preserve">1. Vaccinated &gt;6 months ago with ≥3 doses
                                  2. Biting animal cannot be observed, is sick or rabid, dies, or is a bat
                                  3. Wounds in highly innervated areas (neck, head, genital area, hands, toes, or in very close proximity to the CNS)
                                  4. Multiple or deep wounds
                                  5. Patient has uncontrolled co-morbidities
                                  6. Patient is from a hard-to-reach area with infrequent transportation to and from ABTC/ABC
**Case count of those who completed PEP (CCEEV ± RIG), not number of doses/vials
</t>
    </r>
    <r>
      <rPr>
        <b/>
        <i/>
        <sz val="9"/>
        <color theme="1"/>
        <rFont val="Arial"/>
        <family val="2"/>
      </rPr>
      <t xml:space="preserve">
FORM GUIDE:</t>
    </r>
    <r>
      <rPr>
        <i/>
        <sz val="9"/>
        <color theme="1"/>
        <rFont val="Arial"/>
        <family val="2"/>
      </rPr>
      <t xml:space="preserve"> </t>
    </r>
    <r>
      <rPr>
        <i/>
        <u/>
        <sz val="9"/>
        <color rgb="FF1155CC"/>
        <rFont val="Arial"/>
        <family val="2"/>
      </rPr>
      <t>tinyurl.com/AnimalBiteRFGuide</t>
    </r>
    <r>
      <rPr>
        <i/>
        <sz val="9"/>
        <color theme="1"/>
        <rFont val="Arial"/>
        <family val="2"/>
      </rPr>
      <t xml:space="preserve">              </t>
    </r>
    <r>
      <rPr>
        <b/>
        <i/>
        <sz val="9"/>
        <color theme="1"/>
        <rFont val="Arial"/>
        <family val="2"/>
      </rPr>
      <t xml:space="preserve"> PEP DECISION TREE:</t>
    </r>
    <r>
      <rPr>
        <i/>
        <sz val="9"/>
        <color theme="1"/>
        <rFont val="Arial"/>
        <family val="2"/>
      </rPr>
      <t xml:space="preserve"> </t>
    </r>
    <r>
      <rPr>
        <i/>
        <u/>
        <sz val="9"/>
        <color rgb="FF1155CC"/>
        <rFont val="Arial"/>
        <family val="2"/>
      </rPr>
      <t>tinyurl.com/RabiesPEPDecisionTree</t>
    </r>
    <r>
      <rPr>
        <i/>
        <sz val="9"/>
        <color theme="1"/>
        <rFont val="Arial"/>
        <family val="2"/>
      </rPr>
      <t xml:space="preserve"> </t>
    </r>
  </si>
  <si>
    <r>
      <rPr>
        <i/>
        <sz val="10"/>
        <color theme="1"/>
        <rFont val="Arial"/>
        <family val="2"/>
      </rPr>
      <t xml:space="preserve">Prepared by:
</t>
    </r>
    <r>
      <rPr>
        <b/>
        <i/>
        <sz val="10"/>
        <color theme="1"/>
        <rFont val="Arial"/>
        <family val="2"/>
      </rPr>
      <t>INSERT NAME</t>
    </r>
    <r>
      <rPr>
        <i/>
        <sz val="10"/>
        <color theme="1"/>
        <rFont val="Arial"/>
        <family val="2"/>
      </rPr>
      <t xml:space="preserve">
NRCP Regional Program Manager</t>
    </r>
  </si>
  <si>
    <r>
      <rPr>
        <i/>
        <sz val="10"/>
        <color theme="1"/>
        <rFont val="Arial"/>
        <family val="2"/>
      </rPr>
      <t xml:space="preserve">Reviewed by:
</t>
    </r>
    <r>
      <rPr>
        <b/>
        <i/>
        <sz val="10"/>
        <color theme="1"/>
        <rFont val="Arial"/>
        <family val="2"/>
      </rPr>
      <t xml:space="preserve">INSERT NAME
</t>
    </r>
    <r>
      <rPr>
        <i/>
        <sz val="10"/>
        <color theme="1"/>
        <rFont val="Arial"/>
        <family val="2"/>
      </rPr>
      <t>Infectious Disease Cluster Head</t>
    </r>
  </si>
  <si>
    <r>
      <rPr>
        <i/>
        <sz val="10"/>
        <color theme="1"/>
        <rFont val="Arial"/>
        <family val="2"/>
      </rPr>
      <t xml:space="preserve">Approved by:
</t>
    </r>
    <r>
      <rPr>
        <b/>
        <i/>
        <sz val="10"/>
        <color theme="1"/>
        <rFont val="Arial"/>
        <family val="2"/>
      </rPr>
      <t>INSERT NAME</t>
    </r>
    <r>
      <rPr>
        <i/>
        <sz val="10"/>
        <color theme="1"/>
        <rFont val="Arial"/>
        <family val="2"/>
      </rPr>
      <t xml:space="preserve">
CHD Regional Director</t>
    </r>
  </si>
  <si>
    <t xml:space="preserve">Region: </t>
  </si>
  <si>
    <t>Annual Summary</t>
  </si>
  <si>
    <r>
      <rPr>
        <b/>
        <i/>
        <sz val="9"/>
        <color rgb="FF000000"/>
        <rFont val="Arial"/>
        <family val="2"/>
      </rPr>
      <t xml:space="preserve">IMPORTANT REMINDERS
1. Do NOT edit cells highlighted in green as their values are automatically computed.
2. Ensure totals of age, sex, animal bite cases, and biting animals are equal. Ensure all PEP coverage does not exceed 100%. 
3. Submit the completed form signed by the Provincial Health Officer (PHO) to idc@mimaropa.doh.gov.ph by the 10th day of the month of the succeeding quarter (e.g., submit 2026 Q4 data by  </t>
    </r>
    <r>
      <rPr>
        <b/>
        <i/>
        <sz val="9"/>
        <color rgb="FFFF0000"/>
        <rFont val="Arial"/>
        <family val="2"/>
      </rPr>
      <t>January 10, 2027</t>
    </r>
    <r>
      <rPr>
        <b/>
        <i/>
        <sz val="9"/>
        <color rgb="FF000000"/>
        <rFont val="Arial"/>
        <family val="2"/>
      </rPr>
      <t xml:space="preserve">).
</t>
    </r>
  </si>
  <si>
    <r>
      <rPr>
        <i/>
        <sz val="9"/>
        <color theme="1"/>
        <rFont val="Arial"/>
        <family val="2"/>
      </rPr>
      <t xml:space="preserve">* PEP (CCEEV ± RIG) non-eligible:
Immunologically-naive (Category II): Exposure of a </t>
    </r>
    <r>
      <rPr>
        <b/>
        <i/>
        <sz val="9"/>
        <color theme="1"/>
        <rFont val="Arial"/>
        <family val="2"/>
      </rPr>
      <t>non-immunocompromised</t>
    </r>
    <r>
      <rPr>
        <i/>
        <sz val="9"/>
        <color theme="1"/>
        <rFont val="Arial"/>
        <family val="2"/>
      </rPr>
      <t xml:space="preserve"> individual to a vaccinated animal (as defined in the AO) that is available for observation for 14 days, EXCEPT if any high-risk criteria are present.
Previously-immunized (Category II &amp; III): Exposure of a </t>
    </r>
    <r>
      <rPr>
        <b/>
        <i/>
        <sz val="9"/>
        <color theme="1"/>
        <rFont val="Arial"/>
        <family val="2"/>
      </rPr>
      <t xml:space="preserve">non-immunocompromised individual </t>
    </r>
    <r>
      <rPr>
        <i/>
        <sz val="9"/>
        <color theme="1"/>
        <rFont val="Arial"/>
        <family val="2"/>
      </rPr>
      <t xml:space="preserve">who completed at least three (3) doses of anti-rabies vaccine within the last six (6) months, EXCEPT if any high-risk criteria are present.
</t>
    </r>
    <r>
      <rPr>
        <b/>
        <i/>
        <sz val="9"/>
        <color theme="1"/>
        <rFont val="Arial"/>
        <family val="2"/>
      </rPr>
      <t xml:space="preserve">High-risk criteria:    </t>
    </r>
    <r>
      <rPr>
        <i/>
        <sz val="9"/>
        <color theme="1"/>
        <rFont val="Arial"/>
        <family val="2"/>
      </rPr>
      <t xml:space="preserve">1. Vaccinated &gt;6 months ago with ≥3 doses
                                  2. Biting animal cannot be observed, is sick or rabid, dies, or is a bat
                                  3. Wounds in highly innervated areas (neck, head, genital area, hands, toes, or in very close proximity to the CNS)
                                  4. Multiple or deep wounds
                                  5. Patient has uncontrolled co-morbidities
                                  6. Patient is from a hard-to-reach area with infrequent transportation to and from ABTC/ABC
**Case count of those who completed PEP (CCEEV ± RIG), not number of doses/vials
</t>
    </r>
    <r>
      <rPr>
        <b/>
        <i/>
        <sz val="9"/>
        <color theme="1"/>
        <rFont val="Arial"/>
        <family val="2"/>
      </rPr>
      <t xml:space="preserve">
FORM GUIDE:</t>
    </r>
    <r>
      <rPr>
        <i/>
        <sz val="9"/>
        <color theme="1"/>
        <rFont val="Arial"/>
        <family val="2"/>
      </rPr>
      <t xml:space="preserve"> </t>
    </r>
    <r>
      <rPr>
        <i/>
        <u/>
        <sz val="9"/>
        <color rgb="FF1155CC"/>
        <rFont val="Arial"/>
        <family val="2"/>
      </rPr>
      <t>tinyurl.com/AnimalBiteRFGuide</t>
    </r>
    <r>
      <rPr>
        <i/>
        <sz val="9"/>
        <color theme="1"/>
        <rFont val="Arial"/>
        <family val="2"/>
      </rPr>
      <t xml:space="preserve">              </t>
    </r>
    <r>
      <rPr>
        <b/>
        <i/>
        <sz val="9"/>
        <color theme="1"/>
        <rFont val="Arial"/>
        <family val="2"/>
      </rPr>
      <t xml:space="preserve"> PEP DECISION TREE:</t>
    </r>
    <r>
      <rPr>
        <i/>
        <sz val="9"/>
        <color theme="1"/>
        <rFont val="Arial"/>
        <family val="2"/>
      </rPr>
      <t xml:space="preserve"> </t>
    </r>
    <r>
      <rPr>
        <i/>
        <u/>
        <sz val="9"/>
        <color rgb="FF1155CC"/>
        <rFont val="Arial"/>
        <family val="2"/>
      </rPr>
      <t>tinyurl.com/RabiesPEPDecisionTree</t>
    </r>
    <r>
      <rPr>
        <i/>
        <sz val="9"/>
        <color theme="1"/>
        <rFont val="Arial"/>
        <family val="2"/>
      </rPr>
      <t xml:space="preserve"> </t>
    </r>
  </si>
  <si>
    <r>
      <rPr>
        <i/>
        <sz val="10"/>
        <color theme="1"/>
        <rFont val="Arial"/>
        <family val="2"/>
      </rPr>
      <t xml:space="preserve">Prepared by:
</t>
    </r>
    <r>
      <rPr>
        <b/>
        <i/>
        <sz val="10"/>
        <color theme="1"/>
        <rFont val="Arial"/>
        <family val="2"/>
      </rPr>
      <t>INSERT NAME</t>
    </r>
    <r>
      <rPr>
        <i/>
        <sz val="10"/>
        <color theme="1"/>
        <rFont val="Arial"/>
        <family val="2"/>
      </rPr>
      <t xml:space="preserve">
NRCP Regional Program Manager</t>
    </r>
  </si>
  <si>
    <r>
      <rPr>
        <i/>
        <sz val="10"/>
        <color theme="1"/>
        <rFont val="Arial"/>
        <family val="2"/>
      </rPr>
      <t xml:space="preserve">Reviewed by:
</t>
    </r>
    <r>
      <rPr>
        <b/>
        <i/>
        <sz val="10"/>
        <color theme="1"/>
        <rFont val="Arial"/>
        <family val="2"/>
      </rPr>
      <t xml:space="preserve">INSERT NAME
</t>
    </r>
    <r>
      <rPr>
        <i/>
        <sz val="10"/>
        <color theme="1"/>
        <rFont val="Arial"/>
        <family val="2"/>
      </rPr>
      <t>Infectious Disease Cluster Head</t>
    </r>
  </si>
  <si>
    <r>
      <rPr>
        <i/>
        <sz val="10"/>
        <color theme="1"/>
        <rFont val="Arial"/>
        <family val="2"/>
      </rPr>
      <t xml:space="preserve">Approved by:
</t>
    </r>
    <r>
      <rPr>
        <b/>
        <i/>
        <sz val="10"/>
        <color theme="1"/>
        <rFont val="Arial"/>
        <family val="2"/>
      </rPr>
      <t>INSERT NAME</t>
    </r>
    <r>
      <rPr>
        <i/>
        <sz val="10"/>
        <color theme="1"/>
        <rFont val="Arial"/>
        <family val="2"/>
      </rPr>
      <t xml:space="preserve">
CHD Regional Director</t>
    </r>
  </si>
  <si>
    <r>
      <rPr>
        <b/>
        <i/>
        <sz val="9"/>
        <color rgb="FF000000"/>
        <rFont val="Arial"/>
        <family val="2"/>
      </rPr>
      <t>IMPORTANT REMINDERS
1. Do NOT edit the highlighted cells as their values are automatically computed.
2. Ensure totals of age, sex, animal bite cases, and biting animals are equal. Ensure all PEP coverage does not exceed 100%. 
3. Submit the completed form</t>
    </r>
    <r>
      <rPr>
        <b/>
        <i/>
        <sz val="9"/>
        <color rgb="FFFF0000"/>
        <rFont val="Arial"/>
        <family val="2"/>
      </rPr>
      <t xml:space="preserve"> signed by the CHD Regional Director</t>
    </r>
    <r>
      <rPr>
        <b/>
        <i/>
        <sz val="9"/>
        <color rgb="FF000000"/>
        <rFont val="Arial"/>
        <family val="2"/>
      </rPr>
      <t xml:space="preserve"> to dpcboidpced@doh.gov.ph and nrpcp@doh.gov.ph by the first week of the second month of the succeeding quarter (e.g., submit 2026 Q1 data by May 4-8, 2026).</t>
    </r>
  </si>
  <si>
    <t>All Categories</t>
  </si>
  <si>
    <t>Total RIG Coverage</t>
  </si>
  <si>
    <t>M</t>
  </si>
  <si>
    <t>F</t>
  </si>
  <si>
    <t>Overall (2)</t>
  </si>
  <si>
    <t>Overall (5)</t>
  </si>
  <si>
    <t>Total PEP
eligible</t>
  </si>
  <si>
    <t>Total PEP non-eligible</t>
  </si>
  <si>
    <t>Total Cat II</t>
  </si>
  <si>
    <t>Total Cat III</t>
  </si>
  <si>
    <t>* PEP (CCEEV ± RIG) non-eligible:
Category II: Exposure of a non-immunocompromised individual to a vaccinated animal (as defined in the AO), provided that the animal is available for observation for 14 days.
Category II &amp; III: Repeat exposure in a previously immunized, non-immunocompromised individual who completed at least three (3) doses of anti-rabies vaccine within the last six (6) months, EXCEPT under any of the following conditions:
1. The biting animal cannot be observed, is sick or rabid, or died
2. The site of bite is in highly innervated areas (neck, head, genital area, hands, toes, or in very close proximity to the CNS)
3. Multiple deep bites
4. Presence of uncontrolled co-morbidities
5. Patient is coming from hard to reach areas with infrequent transportation to and from ABTC/ABC
**Case count of those who completed PEP (CCEEV ± RIG), not number of doses/vials</t>
  </si>
  <si>
    <r>
      <rPr>
        <i/>
        <sz val="10"/>
        <color theme="1"/>
        <rFont val="Arial"/>
        <family val="2"/>
      </rPr>
      <t xml:space="preserve">Prepared by:
</t>
    </r>
    <r>
      <rPr>
        <b/>
        <i/>
        <sz val="10"/>
        <color theme="1"/>
        <rFont val="Arial"/>
        <family val="2"/>
      </rPr>
      <t>INSERT NAME</t>
    </r>
    <r>
      <rPr>
        <i/>
        <sz val="10"/>
        <color theme="1"/>
        <rFont val="Arial"/>
        <family val="2"/>
      </rPr>
      <t xml:space="preserve">
NRCP Regional Program Manager</t>
    </r>
  </si>
  <si>
    <r>
      <rPr>
        <i/>
        <sz val="10"/>
        <color theme="1"/>
        <rFont val="Arial"/>
        <family val="2"/>
      </rPr>
      <t xml:space="preserve">Reviewed by:
</t>
    </r>
    <r>
      <rPr>
        <b/>
        <i/>
        <sz val="10"/>
        <color theme="1"/>
        <rFont val="Arial"/>
        <family val="2"/>
      </rPr>
      <t xml:space="preserve">INSERT NAME
</t>
    </r>
    <r>
      <rPr>
        <i/>
        <sz val="10"/>
        <color theme="1"/>
        <rFont val="Arial"/>
        <family val="2"/>
      </rPr>
      <t>Infectious Disease Cluster Head</t>
    </r>
  </si>
  <si>
    <r>
      <rPr>
        <i/>
        <sz val="10"/>
        <color theme="1"/>
        <rFont val="Arial"/>
        <family val="2"/>
      </rPr>
      <t xml:space="preserve">Prepared by:
</t>
    </r>
    <r>
      <rPr>
        <b/>
        <i/>
        <sz val="10"/>
        <color theme="1"/>
        <rFont val="Arial"/>
        <family val="2"/>
      </rPr>
      <t>INSERT NAME</t>
    </r>
    <r>
      <rPr>
        <i/>
        <sz val="10"/>
        <color theme="1"/>
        <rFont val="Arial"/>
        <family val="2"/>
      </rPr>
      <t xml:space="preserve">
CHD Regional Director</t>
    </r>
  </si>
  <si>
    <t>LOCATION
(Barangay)</t>
  </si>
  <si>
    <t xml:space="preserve">Municipality: </t>
  </si>
  <si>
    <t>Municipality</t>
  </si>
  <si>
    <t>PHO-PALAWAN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</si>
</sst>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scheme val="minor"/>
    </font>
    <font>
      <b/>
      <sz val="12"/>
      <color theme="1"/>
      <name val="Arial"/>
      <family val="2"/>
    </font>
    <font>
      <b/>
      <sz val="9"/>
      <color theme="1"/>
      <name val="Arial"/>
      <family val="2"/>
    </font>
    <font>
      <b/>
      <sz val="10"/>
      <color theme="1"/>
      <name val="Arial"/>
      <family val="2"/>
    </font>
    <font>
      <sz val="10"/>
      <name val="Arial"/>
      <family val="2"/>
    </font>
    <font>
      <b/>
      <i/>
      <sz val="9"/>
      <color rgb="FFFF0000"/>
      <name val="Arial"/>
      <family val="2"/>
    </font>
    <font>
      <b/>
      <sz val="9"/>
      <color rgb="FF000000"/>
      <name val="Arial"/>
      <family val="2"/>
    </font>
    <font>
      <sz val="9"/>
      <color rgb="FF000000"/>
      <name val="Arial"/>
      <family val="2"/>
    </font>
    <font>
      <i/>
      <u/>
      <sz val="9"/>
      <color theme="1"/>
      <name val="Arial"/>
      <family val="2"/>
    </font>
    <font>
      <i/>
      <sz val="10"/>
      <color theme="1"/>
      <name val="Arial"/>
      <family val="2"/>
    </font>
    <font>
      <b/>
      <i/>
      <sz val="9"/>
      <color rgb="FF000000"/>
      <name val="Arial"/>
      <family val="2"/>
    </font>
    <font>
      <i/>
      <sz val="9"/>
      <color theme="1"/>
      <name val="Arial"/>
      <family val="2"/>
    </font>
    <font>
      <b/>
      <i/>
      <sz val="9"/>
      <color theme="1"/>
      <name val="Arial"/>
      <family val="2"/>
    </font>
    <font>
      <i/>
      <u/>
      <sz val="9"/>
      <color rgb="FF1155CC"/>
      <name val="Arial"/>
      <family val="2"/>
    </font>
    <font>
      <b/>
      <i/>
      <sz val="10"/>
      <color theme="1"/>
      <name val="Arial"/>
      <family val="2"/>
    </font>
  </fonts>
  <fills count="7">
    <fill>
      <patternFill patternType="none"/>
    </fill>
    <fill>
      <patternFill patternType="gray125"/>
    </fill>
    <fill>
      <patternFill patternType="solid">
        <fgColor rgb="FFF3F3F3"/>
        <bgColor rgb="FFF3F3F3"/>
      </patternFill>
    </fill>
    <fill>
      <patternFill patternType="solid">
        <fgColor rgb="FFD9EAD3"/>
        <bgColor rgb="FFD9EAD3"/>
      </patternFill>
    </fill>
    <fill>
      <patternFill patternType="solid">
        <fgColor rgb="FFFFF2CC"/>
        <bgColor rgb="FFFFF2CC"/>
      </patternFill>
    </fill>
    <fill>
      <patternFill patternType="solid">
        <fgColor rgb="FFFCE5CD"/>
        <bgColor rgb="FFFCE5CD"/>
      </patternFill>
    </fill>
    <fill>
      <patternFill patternType="solid">
        <fgColor rgb="FFCFE2F3"/>
        <bgColor rgb="FFCFE2F3"/>
      </patternFill>
    </fill>
  </fills>
  <borders count="47">
    <border>
      <left/>
      <right/>
      <top/>
      <bottom/>
      <diagonal/>
    </border>
    <border>
      <left/>
      <right/>
      <top/>
      <bottom style="medium">
        <color rgb="FF000000"/>
      </bottom>
      <diagonal/>
    </border>
    <border>
      <left style="thick">
        <color rgb="FF000000"/>
      </left>
      <right/>
      <top style="thick">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n">
        <color rgb="FF000000"/>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ck">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style="thick">
        <color rgb="FF000000"/>
      </left>
      <right style="thin">
        <color rgb="FF000000"/>
      </right>
      <top/>
      <bottom/>
      <diagonal/>
    </border>
    <border>
      <left style="thin">
        <color rgb="FF000000"/>
      </left>
      <right style="thick">
        <color rgb="FF000000"/>
      </right>
      <top/>
      <bottom/>
      <diagonal/>
    </border>
    <border>
      <left style="thin">
        <color rgb="FF000000"/>
      </left>
      <right style="thin">
        <color rgb="FF000000"/>
      </right>
      <top/>
      <bottom/>
      <diagonal/>
    </border>
    <border>
      <left style="thick">
        <color rgb="FF000000"/>
      </left>
      <right/>
      <top/>
      <bottom style="thin">
        <color rgb="FF000000"/>
      </bottom>
      <diagonal/>
    </border>
    <border>
      <left style="thick">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ck">
        <color rgb="FF000000"/>
      </right>
      <top/>
      <bottom style="thin">
        <color rgb="FF000000"/>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top style="thin">
        <color rgb="FF000000"/>
      </top>
      <bottom/>
      <diagonal/>
    </border>
    <border>
      <left style="thick">
        <color rgb="FF000000"/>
      </left>
      <right/>
      <top style="thick">
        <color rgb="FF000000"/>
      </top>
      <bottom style="thick">
        <color rgb="FF000000"/>
      </bottom>
      <diagonal/>
    </border>
    <border>
      <left style="thick">
        <color rgb="FF000000"/>
      </left>
      <right style="thin">
        <color rgb="FF000000"/>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ck">
        <color rgb="FF000000"/>
      </right>
      <top style="thick">
        <color rgb="FF000000"/>
      </top>
      <bottom style="thick">
        <color rgb="FF000000"/>
      </bottom>
      <diagonal/>
    </border>
    <border>
      <left/>
      <right style="thick">
        <color rgb="FF000000"/>
      </right>
      <top style="thin">
        <color rgb="FF000000"/>
      </top>
      <bottom style="thin">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style="thin">
        <color rgb="FF000000"/>
      </top>
      <bottom style="thin">
        <color rgb="FF000000"/>
      </bottom>
      <diagonal/>
    </border>
    <border>
      <left style="thick">
        <color rgb="FF000000"/>
      </left>
      <right style="thick">
        <color rgb="FF000000"/>
      </right>
      <top style="thin">
        <color rgb="FF000000"/>
      </top>
      <bottom/>
      <diagonal/>
    </border>
    <border>
      <left/>
      <right style="thick">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33">
    <xf numFmtId="0" fontId="0" fillId="0" borderId="0" xfId="0"/>
    <xf numFmtId="3" fontId="1" fillId="0" borderId="0" xfId="0" applyNumberFormat="1" applyFont="1" applyAlignment="1">
      <alignment horizontal="left" vertical="center"/>
    </xf>
    <xf numFmtId="3" fontId="2" fillId="0" borderId="0" xfId="0" applyNumberFormat="1" applyFont="1" applyAlignment="1">
      <alignment horizontal="left" vertical="center"/>
    </xf>
    <xf numFmtId="3" fontId="3" fillId="0" borderId="0" xfId="0" applyNumberFormat="1" applyFont="1" applyAlignment="1">
      <alignment horizontal="left" vertical="center"/>
    </xf>
    <xf numFmtId="3" fontId="2" fillId="0" borderId="0" xfId="0" applyNumberFormat="1" applyFont="1" applyAlignment="1">
      <alignment horizontal="center" vertical="center" wrapText="1"/>
    </xf>
    <xf numFmtId="3" fontId="5" fillId="0" borderId="0" xfId="0" applyNumberFormat="1" applyFont="1" applyAlignment="1">
      <alignment horizontal="left" vertical="center"/>
    </xf>
    <xf numFmtId="3" fontId="6" fillId="0" borderId="15" xfId="0" applyNumberFormat="1" applyFont="1" applyBorder="1" applyAlignment="1">
      <alignment horizontal="center" vertical="center" wrapText="1"/>
    </xf>
    <xf numFmtId="3" fontId="7" fillId="0" borderId="3" xfId="0" applyNumberFormat="1" applyFont="1" applyBorder="1" applyAlignment="1">
      <alignment wrapText="1"/>
    </xf>
    <xf numFmtId="3" fontId="7" fillId="0" borderId="3" xfId="0" applyNumberFormat="1" applyFont="1" applyBorder="1" applyAlignment="1">
      <alignment vertical="center"/>
    </xf>
    <xf numFmtId="3" fontId="7" fillId="0" borderId="25" xfId="0" applyNumberFormat="1" applyFont="1" applyBorder="1" applyAlignment="1">
      <alignment vertical="center"/>
    </xf>
    <xf numFmtId="3" fontId="7" fillId="0" borderId="26" xfId="0" applyNumberFormat="1" applyFont="1" applyBorder="1" applyAlignment="1">
      <alignment vertical="center"/>
    </xf>
    <xf numFmtId="3" fontId="7" fillId="3" borderId="26" xfId="0" applyNumberFormat="1" applyFont="1" applyFill="1" applyBorder="1" applyAlignment="1">
      <alignment vertical="center"/>
    </xf>
    <xf numFmtId="3" fontId="7" fillId="3" borderId="26" xfId="0" applyNumberFormat="1" applyFont="1" applyFill="1" applyBorder="1" applyAlignment="1">
      <alignment horizontal="right" vertical="center"/>
    </xf>
    <xf numFmtId="3" fontId="7" fillId="3" borderId="27" xfId="0" applyNumberFormat="1" applyFont="1" applyFill="1" applyBorder="1" applyAlignment="1">
      <alignment horizontal="right" vertical="center"/>
    </xf>
    <xf numFmtId="3" fontId="7" fillId="0" borderId="25" xfId="0" applyNumberFormat="1" applyFont="1" applyBorder="1" applyAlignment="1">
      <alignment horizontal="right" vertical="center"/>
    </xf>
    <xf numFmtId="3" fontId="7" fillId="0" borderId="26" xfId="0" applyNumberFormat="1" applyFont="1" applyBorder="1" applyAlignment="1">
      <alignment horizontal="right" vertical="center"/>
    </xf>
    <xf numFmtId="10" fontId="7" fillId="3" borderId="26" xfId="0" applyNumberFormat="1" applyFont="1" applyFill="1" applyBorder="1" applyAlignment="1">
      <alignment horizontal="right" vertical="center"/>
    </xf>
    <xf numFmtId="3" fontId="7" fillId="0" borderId="27" xfId="0" applyNumberFormat="1" applyFont="1" applyBorder="1" applyAlignment="1">
      <alignment horizontal="right" vertical="center"/>
    </xf>
    <xf numFmtId="3" fontId="7" fillId="3" borderId="28" xfId="0" applyNumberFormat="1" applyFont="1" applyFill="1" applyBorder="1" applyAlignment="1">
      <alignment vertical="center"/>
    </xf>
    <xf numFmtId="3" fontId="7" fillId="0" borderId="8" xfId="0" applyNumberFormat="1" applyFont="1" applyBorder="1" applyAlignment="1">
      <alignment wrapText="1"/>
    </xf>
    <xf numFmtId="3" fontId="7" fillId="0" borderId="8" xfId="0" applyNumberFormat="1" applyFont="1" applyBorder="1" applyAlignment="1">
      <alignment vertical="center"/>
    </xf>
    <xf numFmtId="3" fontId="7" fillId="0" borderId="29" xfId="0" applyNumberFormat="1" applyFont="1" applyBorder="1" applyAlignment="1">
      <alignment vertical="center"/>
    </xf>
    <xf numFmtId="3" fontId="7" fillId="0" borderId="30" xfId="0" applyNumberFormat="1" applyFont="1" applyBorder="1" applyAlignment="1">
      <alignment vertical="center"/>
    </xf>
    <xf numFmtId="3" fontId="7" fillId="3" borderId="30" xfId="0" applyNumberFormat="1" applyFont="1" applyFill="1" applyBorder="1" applyAlignment="1">
      <alignment vertical="center"/>
    </xf>
    <xf numFmtId="3" fontId="7" fillId="3" borderId="30" xfId="0" applyNumberFormat="1" applyFont="1" applyFill="1" applyBorder="1" applyAlignment="1">
      <alignment horizontal="right" vertical="center"/>
    </xf>
    <xf numFmtId="3" fontId="7" fillId="3" borderId="11" xfId="0" applyNumberFormat="1" applyFont="1" applyFill="1" applyBorder="1" applyAlignment="1">
      <alignment horizontal="right" vertical="center"/>
    </xf>
    <xf numFmtId="3" fontId="7" fillId="0" borderId="29" xfId="0" applyNumberFormat="1" applyFont="1" applyBorder="1" applyAlignment="1">
      <alignment horizontal="right" vertical="center"/>
    </xf>
    <xf numFmtId="3" fontId="7" fillId="0" borderId="30" xfId="0" applyNumberFormat="1" applyFont="1" applyBorder="1" applyAlignment="1">
      <alignment horizontal="right" vertical="center"/>
    </xf>
    <xf numFmtId="10" fontId="7" fillId="3" borderId="30" xfId="0" applyNumberFormat="1" applyFont="1" applyFill="1" applyBorder="1" applyAlignment="1">
      <alignment horizontal="right" vertical="center"/>
    </xf>
    <xf numFmtId="3" fontId="7" fillId="0" borderId="11" xfId="0" applyNumberFormat="1" applyFont="1" applyBorder="1" applyAlignment="1">
      <alignment horizontal="right" vertical="center"/>
    </xf>
    <xf numFmtId="3" fontId="7" fillId="3" borderId="31" xfId="0" applyNumberFormat="1" applyFont="1" applyFill="1" applyBorder="1" applyAlignment="1">
      <alignment vertical="center"/>
    </xf>
    <xf numFmtId="3" fontId="7" fillId="0" borderId="8" xfId="0" applyNumberFormat="1" applyFont="1" applyBorder="1" applyAlignment="1">
      <alignment horizontal="right" vertical="center"/>
    </xf>
    <xf numFmtId="3" fontId="7" fillId="0" borderId="32" xfId="0" applyNumberFormat="1" applyFont="1" applyBorder="1" applyAlignment="1">
      <alignment wrapText="1"/>
    </xf>
    <xf numFmtId="3" fontId="7" fillId="0" borderId="32" xfId="0" applyNumberFormat="1" applyFont="1" applyBorder="1" applyAlignment="1">
      <alignment vertical="center"/>
    </xf>
    <xf numFmtId="3" fontId="7" fillId="0" borderId="13" xfId="0" applyNumberFormat="1" applyFont="1" applyBorder="1" applyAlignment="1">
      <alignment vertical="center"/>
    </xf>
    <xf numFmtId="3" fontId="7" fillId="0" borderId="15" xfId="0" applyNumberFormat="1" applyFont="1" applyBorder="1" applyAlignment="1">
      <alignment vertical="center"/>
    </xf>
    <xf numFmtId="3" fontId="7" fillId="3" borderId="15" xfId="0" applyNumberFormat="1" applyFont="1" applyFill="1" applyBorder="1" applyAlignment="1">
      <alignment vertical="center"/>
    </xf>
    <xf numFmtId="3" fontId="7" fillId="3" borderId="15" xfId="0" applyNumberFormat="1" applyFont="1" applyFill="1" applyBorder="1" applyAlignment="1">
      <alignment horizontal="right" vertical="center"/>
    </xf>
    <xf numFmtId="3" fontId="7" fillId="3" borderId="12" xfId="0" applyNumberFormat="1" applyFont="1" applyFill="1" applyBorder="1" applyAlignment="1">
      <alignment horizontal="right" vertical="center"/>
    </xf>
    <xf numFmtId="3" fontId="7" fillId="0" borderId="13" xfId="0" applyNumberFormat="1" applyFont="1" applyBorder="1" applyAlignment="1">
      <alignment horizontal="right" vertical="center"/>
    </xf>
    <xf numFmtId="3" fontId="7" fillId="0" borderId="15" xfId="0" applyNumberFormat="1" applyFont="1" applyBorder="1" applyAlignment="1">
      <alignment horizontal="right" vertical="center"/>
    </xf>
    <xf numFmtId="10" fontId="7" fillId="3" borderId="15" xfId="0" applyNumberFormat="1" applyFont="1" applyFill="1" applyBorder="1" applyAlignment="1">
      <alignment horizontal="right" vertical="center"/>
    </xf>
    <xf numFmtId="3" fontId="7" fillId="0" borderId="12" xfId="0" applyNumberFormat="1" applyFont="1" applyBorder="1" applyAlignment="1">
      <alignment horizontal="right" vertical="center"/>
    </xf>
    <xf numFmtId="3" fontId="7" fillId="3" borderId="14" xfId="0" applyNumberFormat="1" applyFont="1" applyFill="1" applyBorder="1" applyAlignment="1">
      <alignment vertical="center"/>
    </xf>
    <xf numFmtId="3" fontId="6" fillId="3" borderId="33" xfId="0" applyNumberFormat="1" applyFont="1" applyFill="1" applyBorder="1" applyAlignment="1">
      <alignment horizontal="center" vertical="center" wrapText="1"/>
    </xf>
    <xf numFmtId="3" fontId="6" fillId="3" borderId="33" xfId="0" applyNumberFormat="1" applyFont="1" applyFill="1" applyBorder="1" applyAlignment="1">
      <alignment horizontal="right" vertical="center"/>
    </xf>
    <xf numFmtId="3" fontId="6" fillId="3" borderId="34" xfId="0" applyNumberFormat="1" applyFont="1" applyFill="1" applyBorder="1" applyAlignment="1">
      <alignment horizontal="right" vertical="center"/>
    </xf>
    <xf numFmtId="3" fontId="6" fillId="3" borderId="35" xfId="0" applyNumberFormat="1" applyFont="1" applyFill="1" applyBorder="1" applyAlignment="1">
      <alignment horizontal="right" vertical="center"/>
    </xf>
    <xf numFmtId="3" fontId="6" fillId="3" borderId="36" xfId="0" applyNumberFormat="1" applyFont="1" applyFill="1" applyBorder="1" applyAlignment="1">
      <alignment horizontal="right" vertical="center"/>
    </xf>
    <xf numFmtId="10" fontId="6" fillId="3" borderId="35" xfId="0" applyNumberFormat="1" applyFont="1" applyFill="1" applyBorder="1" applyAlignment="1">
      <alignment horizontal="right" vertical="center"/>
    </xf>
    <xf numFmtId="3" fontId="6" fillId="3" borderId="37" xfId="0" applyNumberFormat="1" applyFont="1" applyFill="1" applyBorder="1" applyAlignment="1">
      <alignment vertical="center"/>
    </xf>
    <xf numFmtId="3" fontId="2" fillId="0" borderId="0" xfId="0" applyNumberFormat="1" applyFont="1" applyAlignment="1">
      <alignment horizontal="left" vertical="center" wrapText="1"/>
    </xf>
    <xf numFmtId="3" fontId="2" fillId="0" borderId="0" xfId="0" applyNumberFormat="1" applyFont="1" applyAlignment="1">
      <alignment vertical="center" wrapText="1"/>
    </xf>
    <xf numFmtId="3" fontId="2" fillId="0" borderId="0" xfId="0" applyNumberFormat="1" applyFont="1" applyAlignment="1">
      <alignment vertical="center"/>
    </xf>
    <xf numFmtId="3" fontId="9" fillId="0" borderId="0" xfId="0" applyNumberFormat="1" applyFont="1" applyAlignment="1">
      <alignment vertical="center" wrapText="1"/>
    </xf>
    <xf numFmtId="3" fontId="10" fillId="0" borderId="0" xfId="0" applyNumberFormat="1" applyFont="1" applyAlignment="1">
      <alignment horizontal="left" vertical="center"/>
    </xf>
    <xf numFmtId="3" fontId="2" fillId="0" borderId="0" xfId="0" applyNumberFormat="1" applyFont="1" applyAlignment="1">
      <alignment horizontal="center" vertical="center"/>
    </xf>
    <xf numFmtId="3" fontId="7" fillId="0" borderId="39" xfId="0" applyNumberFormat="1" applyFont="1" applyBorder="1" applyAlignment="1">
      <alignment wrapText="1"/>
    </xf>
    <xf numFmtId="3" fontId="7" fillId="0" borderId="6" xfId="0" applyNumberFormat="1" applyFont="1" applyBorder="1" applyAlignment="1">
      <alignment vertical="center"/>
    </xf>
    <xf numFmtId="3" fontId="7" fillId="0" borderId="5" xfId="0" applyNumberFormat="1" applyFont="1" applyBorder="1" applyAlignment="1">
      <alignment vertical="center"/>
    </xf>
    <xf numFmtId="3" fontId="7" fillId="3" borderId="28" xfId="0" applyNumberFormat="1" applyFont="1" applyFill="1" applyBorder="1" applyAlignment="1">
      <alignment horizontal="right" vertical="center"/>
    </xf>
    <xf numFmtId="3" fontId="7" fillId="0" borderId="40" xfId="0" applyNumberFormat="1" applyFont="1" applyBorder="1" applyAlignment="1">
      <alignment wrapText="1"/>
    </xf>
    <xf numFmtId="3" fontId="7" fillId="0" borderId="38" xfId="0" applyNumberFormat="1" applyFont="1" applyBorder="1" applyAlignment="1">
      <alignment vertical="center"/>
    </xf>
    <xf numFmtId="3" fontId="7" fillId="0" borderId="10" xfId="0" applyNumberFormat="1" applyFont="1" applyBorder="1" applyAlignment="1">
      <alignment vertical="center"/>
    </xf>
    <xf numFmtId="3" fontId="7" fillId="3" borderId="31" xfId="0" applyNumberFormat="1" applyFont="1" applyFill="1" applyBorder="1" applyAlignment="1">
      <alignment horizontal="right" vertical="center"/>
    </xf>
    <xf numFmtId="3" fontId="7" fillId="0" borderId="41" xfId="0" applyNumberFormat="1" applyFont="1" applyBorder="1" applyAlignment="1">
      <alignment wrapText="1"/>
    </xf>
    <xf numFmtId="3" fontId="7" fillId="0" borderId="42" xfId="0" applyNumberFormat="1" applyFont="1" applyBorder="1" applyAlignment="1">
      <alignment vertical="center"/>
    </xf>
    <xf numFmtId="3" fontId="7" fillId="3" borderId="14" xfId="0" applyNumberFormat="1" applyFont="1" applyFill="1" applyBorder="1" applyAlignment="1">
      <alignment horizontal="right" vertical="center"/>
    </xf>
    <xf numFmtId="3" fontId="6" fillId="3" borderId="37" xfId="0" applyNumberFormat="1" applyFont="1" applyFill="1" applyBorder="1" applyAlignment="1">
      <alignment horizontal="right" vertical="center"/>
    </xf>
    <xf numFmtId="3" fontId="6" fillId="0" borderId="30" xfId="0" applyNumberFormat="1" applyFont="1" applyBorder="1" applyAlignment="1">
      <alignment horizontal="center" vertical="center" wrapText="1"/>
    </xf>
    <xf numFmtId="10" fontId="6" fillId="0" borderId="30" xfId="0" applyNumberFormat="1" applyFont="1" applyBorder="1" applyAlignment="1">
      <alignment horizontal="center" vertical="center" wrapText="1"/>
    </xf>
    <xf numFmtId="0" fontId="6" fillId="0" borderId="30" xfId="0" applyFont="1" applyBorder="1" applyAlignment="1">
      <alignment horizontal="center" vertical="center" wrapText="1"/>
    </xf>
    <xf numFmtId="4" fontId="6" fillId="0" borderId="30" xfId="0" applyNumberFormat="1" applyFont="1" applyBorder="1" applyAlignment="1">
      <alignment horizontal="center" vertical="center" wrapText="1"/>
    </xf>
    <xf numFmtId="3" fontId="7" fillId="0" borderId="30" xfId="0" applyNumberFormat="1" applyFont="1" applyBorder="1"/>
    <xf numFmtId="3" fontId="7" fillId="4" borderId="30" xfId="0" applyNumberFormat="1" applyFont="1" applyFill="1" applyBorder="1" applyAlignment="1">
      <alignment vertical="center"/>
    </xf>
    <xf numFmtId="3" fontId="7" fillId="5" borderId="30" xfId="0" applyNumberFormat="1" applyFont="1" applyFill="1" applyBorder="1" applyAlignment="1">
      <alignment vertical="center"/>
    </xf>
    <xf numFmtId="3" fontId="7" fillId="5" borderId="30" xfId="0" applyNumberFormat="1" applyFont="1" applyFill="1" applyBorder="1" applyAlignment="1">
      <alignment horizontal="right" vertical="center"/>
    </xf>
    <xf numFmtId="3" fontId="7" fillId="4" borderId="30" xfId="0" applyNumberFormat="1" applyFont="1" applyFill="1" applyBorder="1" applyAlignment="1">
      <alignment horizontal="right" vertical="center"/>
    </xf>
    <xf numFmtId="4" fontId="7" fillId="3" borderId="30" xfId="0" applyNumberFormat="1" applyFont="1" applyFill="1" applyBorder="1" applyAlignment="1">
      <alignment vertical="center"/>
    </xf>
    <xf numFmtId="3" fontId="6" fillId="0" borderId="30" xfId="0" applyNumberFormat="1" applyFont="1" applyBorder="1" applyAlignment="1">
      <alignment horizontal="center" vertical="center"/>
    </xf>
    <xf numFmtId="3" fontId="6" fillId="6" borderId="30" xfId="0" applyNumberFormat="1" applyFont="1" applyFill="1" applyBorder="1" applyAlignment="1">
      <alignment horizontal="right" vertical="center"/>
    </xf>
    <xf numFmtId="3" fontId="6" fillId="3" borderId="30" xfId="0" applyNumberFormat="1" applyFont="1" applyFill="1" applyBorder="1" applyAlignment="1">
      <alignment horizontal="right" vertical="center"/>
    </xf>
    <xf numFmtId="3" fontId="6" fillId="4" borderId="30" xfId="0" applyNumberFormat="1" applyFont="1" applyFill="1" applyBorder="1" applyAlignment="1">
      <alignment horizontal="right" vertical="center"/>
    </xf>
    <xf numFmtId="3" fontId="6" fillId="5" borderId="30" xfId="0" applyNumberFormat="1" applyFont="1" applyFill="1" applyBorder="1" applyAlignment="1">
      <alignment horizontal="right" vertical="center"/>
    </xf>
    <xf numFmtId="10" fontId="6" fillId="6" borderId="30" xfId="0" applyNumberFormat="1" applyFont="1" applyFill="1" applyBorder="1" applyAlignment="1">
      <alignment horizontal="right" vertical="center"/>
    </xf>
    <xf numFmtId="4" fontId="6" fillId="6" borderId="30" xfId="0" applyNumberFormat="1" applyFont="1" applyFill="1" applyBorder="1" applyAlignment="1">
      <alignment vertical="center"/>
    </xf>
    <xf numFmtId="3" fontId="7" fillId="0" borderId="29" xfId="0" applyNumberFormat="1" applyFont="1" applyBorder="1" applyAlignment="1">
      <alignment horizontal="right" vertical="center" wrapText="1"/>
    </xf>
    <xf numFmtId="3" fontId="9" fillId="0" borderId="0" xfId="0" applyNumberFormat="1" applyFont="1" applyAlignment="1">
      <alignment vertical="center" wrapText="1"/>
    </xf>
    <xf numFmtId="0" fontId="0" fillId="0" borderId="0" xfId="0"/>
    <xf numFmtId="10" fontId="6" fillId="0" borderId="15" xfId="0" applyNumberFormat="1" applyFont="1" applyBorder="1" applyAlignment="1">
      <alignment horizontal="center" vertical="center" wrapText="1"/>
    </xf>
    <xf numFmtId="0" fontId="4" fillId="0" borderId="22" xfId="0" applyFont="1" applyBorder="1"/>
    <xf numFmtId="0" fontId="6" fillId="0" borderId="15" xfId="0" applyFont="1" applyBorder="1" applyAlignment="1">
      <alignment horizontal="center" vertical="center" wrapText="1"/>
    </xf>
    <xf numFmtId="3" fontId="6" fillId="0" borderId="15" xfId="0" applyNumberFormat="1" applyFont="1" applyBorder="1" applyAlignment="1">
      <alignment horizontal="center" vertical="center" wrapText="1"/>
    </xf>
    <xf numFmtId="0" fontId="4" fillId="0" borderId="19" xfId="0" applyFont="1" applyBorder="1"/>
    <xf numFmtId="3" fontId="6" fillId="0" borderId="12" xfId="0" applyNumberFormat="1" applyFont="1" applyBorder="1" applyAlignment="1">
      <alignment horizontal="center" vertical="center" wrapText="1"/>
    </xf>
    <xf numFmtId="0" fontId="4" fillId="0" borderId="16" xfId="0" applyFont="1" applyBorder="1"/>
    <xf numFmtId="0" fontId="4" fillId="0" borderId="23" xfId="0" applyFont="1" applyBorder="1"/>
    <xf numFmtId="3" fontId="6" fillId="0" borderId="13" xfId="0" applyNumberFormat="1" applyFont="1" applyBorder="1" applyAlignment="1">
      <alignment horizontal="center" vertical="center" wrapText="1"/>
    </xf>
    <xf numFmtId="0" fontId="4" fillId="0" borderId="17" xfId="0" applyFont="1" applyBorder="1"/>
    <xf numFmtId="0" fontId="4" fillId="0" borderId="21" xfId="0" applyFont="1" applyBorder="1"/>
    <xf numFmtId="3" fontId="6" fillId="0" borderId="14" xfId="0" applyNumberFormat="1" applyFont="1" applyBorder="1" applyAlignment="1">
      <alignment horizontal="center" vertical="center" wrapText="1"/>
    </xf>
    <xf numFmtId="0" fontId="4" fillId="0" borderId="18" xfId="0" applyFont="1" applyBorder="1"/>
    <xf numFmtId="0" fontId="4" fillId="0" borderId="24" xfId="0" applyFont="1" applyBorder="1"/>
    <xf numFmtId="3" fontId="2" fillId="0" borderId="0" xfId="0" applyNumberFormat="1" applyFont="1" applyAlignment="1">
      <alignment horizontal="left" vertical="center" wrapText="1"/>
    </xf>
    <xf numFmtId="3" fontId="8" fillId="0" borderId="0" xfId="0" applyNumberFormat="1" applyFont="1" applyAlignment="1">
      <alignment horizontal="left" vertical="center" wrapText="1"/>
    </xf>
    <xf numFmtId="3" fontId="6" fillId="0" borderId="11" xfId="0" applyNumberFormat="1" applyFont="1" applyBorder="1" applyAlignment="1">
      <alignment horizontal="center" vertical="center" wrapText="1"/>
    </xf>
    <xf numFmtId="0" fontId="4" fillId="0" borderId="9" xfId="0" applyFont="1" applyBorder="1"/>
    <xf numFmtId="0" fontId="4" fillId="0" borderId="10" xfId="0" applyFont="1" applyBorder="1"/>
    <xf numFmtId="3" fontId="6" fillId="0" borderId="8" xfId="0" applyNumberFormat="1" applyFont="1" applyBorder="1" applyAlignment="1">
      <alignment horizontal="center" vertical="center" wrapText="1"/>
    </xf>
    <xf numFmtId="0" fontId="6" fillId="0" borderId="11" xfId="0" applyFont="1" applyBorder="1" applyAlignment="1">
      <alignment horizontal="center" vertical="center" wrapText="1"/>
    </xf>
    <xf numFmtId="3" fontId="6" fillId="0" borderId="3" xfId="0" applyNumberFormat="1" applyFont="1" applyBorder="1" applyAlignment="1">
      <alignment horizontal="center" vertical="center" wrapText="1"/>
    </xf>
    <xf numFmtId="0" fontId="4" fillId="0" borderId="4" xfId="0" applyFont="1" applyBorder="1"/>
    <xf numFmtId="0" fontId="4" fillId="0" borderId="5" xfId="0" applyFont="1" applyBorder="1"/>
    <xf numFmtId="0" fontId="4" fillId="0" borderId="6" xfId="0" applyFont="1" applyBorder="1"/>
    <xf numFmtId="10" fontId="6" fillId="0" borderId="11" xfId="0" applyNumberFormat="1" applyFont="1" applyBorder="1" applyAlignment="1">
      <alignment horizontal="center" vertical="center" wrapText="1"/>
    </xf>
    <xf numFmtId="3" fontId="1" fillId="0" borderId="0" xfId="0" applyNumberFormat="1" applyFont="1" applyAlignment="1">
      <alignment horizontal="center" vertical="center" wrapText="1"/>
    </xf>
    <xf numFmtId="3" fontId="3" fillId="0" borderId="0" xfId="0" applyNumberFormat="1" applyFont="1" applyAlignment="1">
      <alignment horizontal="center" vertical="center" wrapText="1"/>
    </xf>
    <xf numFmtId="3" fontId="3" fillId="2" borderId="1" xfId="0" applyNumberFormat="1" applyFont="1" applyFill="1" applyBorder="1" applyAlignment="1">
      <alignment horizontal="left" vertical="center"/>
    </xf>
    <xf numFmtId="0" fontId="4" fillId="0" borderId="1" xfId="0" applyFont="1" applyBorder="1"/>
    <xf numFmtId="3" fontId="6" fillId="0" borderId="2" xfId="0" applyNumberFormat="1" applyFont="1" applyBorder="1" applyAlignment="1">
      <alignment horizontal="center" vertical="center" wrapText="1"/>
    </xf>
    <xf numFmtId="0" fontId="4" fillId="0" borderId="7" xfId="0" applyFont="1" applyBorder="1"/>
    <xf numFmtId="0" fontId="4" fillId="0" borderId="20" xfId="0" applyFont="1" applyBorder="1"/>
    <xf numFmtId="3" fontId="1" fillId="0" borderId="0" xfId="0" applyNumberFormat="1" applyFont="1" applyAlignment="1">
      <alignment horizontal="center" vertical="center"/>
    </xf>
    <xf numFmtId="0" fontId="4" fillId="0" borderId="38" xfId="0" applyFont="1" applyBorder="1"/>
    <xf numFmtId="4" fontId="6" fillId="0" borderId="15" xfId="0" applyNumberFormat="1" applyFont="1" applyBorder="1" applyAlignment="1">
      <alignment horizontal="center" vertical="center" wrapText="1"/>
    </xf>
    <xf numFmtId="0" fontId="4" fillId="0" borderId="43" xfId="0" applyFont="1" applyBorder="1"/>
    <xf numFmtId="0" fontId="4" fillId="0" borderId="44" xfId="0" applyFont="1" applyBorder="1"/>
    <xf numFmtId="0" fontId="4" fillId="0" borderId="45" xfId="0" applyFont="1" applyBorder="1"/>
    <xf numFmtId="0" fontId="4" fillId="0" borderId="46" xfId="0" applyFont="1" applyBorder="1"/>
    <xf numFmtId="3" fontId="3" fillId="0" borderId="0" xfId="0" applyNumberFormat="1" applyFont="1" applyAlignment="1">
      <alignment horizontal="center" vertical="center"/>
    </xf>
    <xf numFmtId="0" fontId="2" fillId="0" borderId="11" xfId="0" applyFont="1" applyBorder="1" applyAlignment="1">
      <alignment horizontal="center"/>
    </xf>
    <xf numFmtId="3" fontId="11" fillId="0" borderId="0" xfId="0" applyNumberFormat="1" applyFont="1" applyAlignment="1">
      <alignment horizontal="left" vertical="center"/>
    </xf>
    <xf numFmtId="0" fontId="2" fillId="0" borderId="11" xfId="0" applyFont="1" applyBorder="1" applyAlignment="1">
      <alignment horizontal="center" vertical="center"/>
    </xf>
  </cellXfs>
  <cellStyles count="1">
    <cellStyle name="Normal" xfId="0" builtinId="0"/>
  </cellStyles>
  <dxfs count="44">
    <dxf>
      <fill>
        <patternFill patternType="solid">
          <fgColor rgb="FFD9EAD3"/>
          <bgColor rgb="FFD9EAD3"/>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D9EAD3"/>
          <bgColor rgb="FFD9EAD3"/>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D9EAD3"/>
          <bgColor rgb="FFD9EAD3"/>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D9EAD3"/>
          <bgColor rgb="FFD9EAD3"/>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D9EAD3"/>
          <bgColor rgb="FFD9EAD3"/>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D9EAD3"/>
          <bgColor rgb="FFD9EAD3"/>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
      <fill>
        <patternFill patternType="solid">
          <fgColor rgb="FFD9EAD3"/>
          <bgColor rgb="FFD9EAD3"/>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ill>
        <patternFill patternType="solid">
          <fgColor rgb="FFFF0000"/>
          <bgColor rgb="FFFF0000"/>
        </patternFill>
      </fill>
    </dxf>
    <dxf>
      <fill>
        <patternFill patternType="solid">
          <fgColor rgb="FF00FF00"/>
          <bgColor rgb="FF00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customschemas.google.com/relationships/workbookmetadata" Target="metadata"/><Relationship Id="rId4" Type="http://schemas.openxmlformats.org/officeDocument/2006/relationships/worksheet" Target="worksheets/sheet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09550" cy="200025"/>
    <xdr:pic>
      <xdr:nvPicPr>
        <xdr:cNvPr id="2" name="image2.png">
          <a:extLst>
            <a:ext uri="{FF2B5EF4-FFF2-40B4-BE49-F238E27FC236}">
              <a16:creationId xmlns:a16="http://schemas.microsoft.com/office/drawing/2014/main" id="{22676BA0-BC61-44D2-98C4-F65E0AB66360}"/>
            </a:ext>
          </a:extLst>
        </xdr:cNvPr>
        <xdr:cNvPicPr preferRelativeResize="0"/>
      </xdr:nvPicPr>
      <xdr:blipFill>
        <a:blip xmlns:r="http://schemas.openxmlformats.org/officeDocument/2006/relationships" r:embed="rId1" cstate="print"/>
        <a:stretch>
          <a:fillRect/>
        </a:stretch>
      </xdr:blipFill>
      <xdr:spPr>
        <a:xfrm>
          <a:off x="0" y="0"/>
          <a:ext cx="209550" cy="200025"/>
        </a:xfrm>
        <a:prstGeom prst="rect">
          <a:avLst/>
        </a:prstGeom>
        <a:noFill/>
      </xdr:spPr>
    </xdr:pic>
    <xdr:clientData fLocksWithSheet="0"/>
  </xdr:oneCellAnchor>
  <xdr:oneCellAnchor>
    <xdr:from>
      <xdr:col>0</xdr:col>
      <xdr:colOff>0</xdr:colOff>
      <xdr:row>6</xdr:row>
      <xdr:rowOff>0</xdr:rowOff>
    </xdr:from>
    <xdr:ext cx="200025" cy="200025"/>
    <xdr:pic>
      <xdr:nvPicPr>
        <xdr:cNvPr id="3" name="image1.png">
          <a:extLst>
            <a:ext uri="{FF2B5EF4-FFF2-40B4-BE49-F238E27FC236}">
              <a16:creationId xmlns:a16="http://schemas.microsoft.com/office/drawing/2014/main" id="{0C0317E9-49B7-49DE-BD75-E3B790C7FA37}"/>
            </a:ext>
          </a:extLst>
        </xdr:cNvPr>
        <xdr:cNvPicPr preferRelativeResize="0"/>
      </xdr:nvPicPr>
      <xdr:blipFill>
        <a:blip xmlns:r="http://schemas.openxmlformats.org/officeDocument/2006/relationships" r:embed="rId2" cstate="print"/>
        <a:stretch>
          <a:fillRect/>
        </a:stretch>
      </xdr:blipFill>
      <xdr:spPr>
        <a:xfrm>
          <a:off x="0" y="1200150"/>
          <a:ext cx="200025" cy="2000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09550" cy="200025"/>
    <xdr:pic>
      <xdr:nvPicPr>
        <xdr:cNvPr id="2" name="image2.png">
          <a:extLst>
            <a:ext uri="{FF2B5EF4-FFF2-40B4-BE49-F238E27FC236}">
              <a16:creationId xmlns:a16="http://schemas.microsoft.com/office/drawing/2014/main" id="{5C0E9222-79B2-4D98-A751-707FAB583907}"/>
            </a:ext>
          </a:extLst>
        </xdr:cNvPr>
        <xdr:cNvPicPr preferRelativeResize="0"/>
      </xdr:nvPicPr>
      <xdr:blipFill>
        <a:blip xmlns:r="http://schemas.openxmlformats.org/officeDocument/2006/relationships" r:embed="rId1" cstate="print"/>
        <a:stretch>
          <a:fillRect/>
        </a:stretch>
      </xdr:blipFill>
      <xdr:spPr>
        <a:xfrm>
          <a:off x="0" y="0"/>
          <a:ext cx="209550" cy="200025"/>
        </a:xfrm>
        <a:prstGeom prst="rect">
          <a:avLst/>
        </a:prstGeom>
        <a:noFill/>
      </xdr:spPr>
    </xdr:pic>
    <xdr:clientData fLocksWithSheet="0"/>
  </xdr:oneCellAnchor>
  <xdr:oneCellAnchor>
    <xdr:from>
      <xdr:col>0</xdr:col>
      <xdr:colOff>0</xdr:colOff>
      <xdr:row>6</xdr:row>
      <xdr:rowOff>0</xdr:rowOff>
    </xdr:from>
    <xdr:ext cx="200025" cy="200025"/>
    <xdr:pic>
      <xdr:nvPicPr>
        <xdr:cNvPr id="3" name="image1.png">
          <a:extLst>
            <a:ext uri="{FF2B5EF4-FFF2-40B4-BE49-F238E27FC236}">
              <a16:creationId xmlns:a16="http://schemas.microsoft.com/office/drawing/2014/main" id="{6A0C1F36-FB23-4E8B-8ADE-7C3E7C8FAB37}"/>
            </a:ext>
          </a:extLst>
        </xdr:cNvPr>
        <xdr:cNvPicPr preferRelativeResize="0"/>
      </xdr:nvPicPr>
      <xdr:blipFill>
        <a:blip xmlns:r="http://schemas.openxmlformats.org/officeDocument/2006/relationships" r:embed="rId2" cstate="print"/>
        <a:stretch>
          <a:fillRect/>
        </a:stretch>
      </xdr:blipFill>
      <xdr:spPr>
        <a:xfrm>
          <a:off x="0" y="1200150"/>
          <a:ext cx="200025" cy="20002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209550" cy="200025"/>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6</xdr:row>
      <xdr:rowOff>0</xdr:rowOff>
    </xdr:from>
    <xdr:ext cx="200025" cy="200025"/>
    <xdr:pic>
      <xdr:nvPicPr>
        <xdr:cNvPr id="3" name="image1.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209550" cy="200025"/>
    <xdr:pic>
      <xdr:nvPicPr>
        <xdr:cNvPr id="2" name="image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209550" cy="200025"/>
    <xdr:pic>
      <xdr:nvPicPr>
        <xdr:cNvPr id="2" name="image2.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6</xdr:row>
      <xdr:rowOff>0</xdr:rowOff>
    </xdr:from>
    <xdr:ext cx="200025" cy="200025"/>
    <xdr:pic>
      <xdr:nvPicPr>
        <xdr:cNvPr id="3" name="image1.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209550" cy="200025"/>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6</xdr:row>
      <xdr:rowOff>0</xdr:rowOff>
    </xdr:from>
    <xdr:ext cx="200025" cy="200025"/>
    <xdr:pic>
      <xdr:nvPicPr>
        <xdr:cNvPr id="3" name="image1.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209550" cy="200025"/>
    <xdr:pic>
      <xdr:nvPicPr>
        <xdr:cNvPr id="2" name="image2.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6</xdr:row>
      <xdr:rowOff>0</xdr:rowOff>
    </xdr:from>
    <xdr:ext cx="200025" cy="200025"/>
    <xdr:pic>
      <xdr:nvPicPr>
        <xdr:cNvPr id="3" name="image1.pn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tinyurl.com/AnimalBiteRFGuide"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tinyurl.com/AnimalBiteRFGuide"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tinyurl.com/AnimalBiteRFGuide"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tinyurl.com/AnimalBiteRFGuid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tinyurl.com/AnimalBiteRFGuide"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tinyurl.com/AnimalBiteRFGuide"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A08D9-B2B8-40C8-A72A-D56B10E94EFD}">
  <sheetPr>
    <outlinePr summaryBelow="0" summaryRight="0"/>
  </sheetPr>
  <dimension ref="A1:AO1000"/>
  <sheetViews>
    <sheetView zoomScale="130" zoomScaleNormal="130" workbookViewId="0">
      <pane ySplit="15" topLeftCell="A16" activePane="bottomLeft" state="frozen"/>
      <selection pane="bottomLeft" activeCell="A16" sqref="A16"/>
    </sheetView>
  </sheetViews>
  <sheetFormatPr defaultColWidth="12.5703125" defaultRowHeight="15" customHeight="1" x14ac:dyDescent="0.2"/>
  <cols>
    <col min="1" max="1" width="18.140625" customWidth="1"/>
    <col min="2" max="2" width="12.5703125" customWidth="1"/>
    <col min="3" max="41" width="10.7109375" customWidth="1"/>
  </cols>
  <sheetData>
    <row r="1" spans="1:41" ht="15.75" customHeight="1" x14ac:dyDescent="0.2">
      <c r="A1" s="115"/>
      <c r="B1" s="1"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15.75" customHeight="1" x14ac:dyDescent="0.2">
      <c r="A2" s="88"/>
      <c r="B2" s="1"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row>
    <row r="3" spans="1:41" ht="15.75" customHeight="1" x14ac:dyDescent="0.2">
      <c r="A3" s="88"/>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row>
    <row r="4" spans="1:41" ht="15.75" customHeight="1" x14ac:dyDescent="0.2">
      <c r="A4" s="88"/>
      <c r="B4" s="3" t="s">
        <v>2</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row>
    <row r="5" spans="1:41" ht="15.75" customHeight="1" x14ac:dyDescent="0.2">
      <c r="A5" s="88"/>
      <c r="B5" s="3" t="s">
        <v>3</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row>
    <row r="6" spans="1:41" ht="15.75" customHeight="1" x14ac:dyDescent="0.2">
      <c r="A6" s="4"/>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row>
    <row r="7" spans="1:41" ht="15.75" customHeight="1" thickBot="1" x14ac:dyDescent="0.25">
      <c r="A7" s="116"/>
      <c r="B7" s="3" t="s">
        <v>101</v>
      </c>
      <c r="C7" s="117"/>
      <c r="D7" s="118"/>
      <c r="E7" s="118"/>
      <c r="F7" s="118"/>
      <c r="H7" s="3" t="s">
        <v>4</v>
      </c>
      <c r="I7" s="3"/>
      <c r="J7" s="117" t="s">
        <v>5</v>
      </c>
      <c r="K7" s="118"/>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row>
    <row r="8" spans="1:41" ht="15.75" customHeight="1" x14ac:dyDescent="0.2">
      <c r="A8" s="88"/>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row>
    <row r="9" spans="1:41" ht="15.75" customHeight="1" x14ac:dyDescent="0.2">
      <c r="A9" s="88"/>
      <c r="B9" s="5" t="s">
        <v>6</v>
      </c>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row>
    <row r="10" spans="1:41" ht="15.75" customHeight="1" thickBot="1" x14ac:dyDescent="0.25">
      <c r="A10" s="4"/>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row>
    <row r="11" spans="1:41" ht="15.75" customHeight="1" thickTop="1" x14ac:dyDescent="0.2">
      <c r="A11" s="119" t="s">
        <v>100</v>
      </c>
      <c r="B11" s="119" t="s">
        <v>8</v>
      </c>
      <c r="C11" s="110" t="s">
        <v>9</v>
      </c>
      <c r="D11" s="111"/>
      <c r="E11" s="111"/>
      <c r="F11" s="111"/>
      <c r="G11" s="111"/>
      <c r="H11" s="111"/>
      <c r="I11" s="111"/>
      <c r="J11" s="111"/>
      <c r="K11" s="111"/>
      <c r="L11" s="111"/>
      <c r="M11" s="111"/>
      <c r="N11" s="111"/>
      <c r="O11" s="111"/>
      <c r="P11" s="111"/>
      <c r="Q11" s="111"/>
      <c r="R11" s="111"/>
      <c r="S11" s="111"/>
      <c r="T11" s="111"/>
      <c r="U11" s="112"/>
      <c r="V11" s="110" t="s">
        <v>10</v>
      </c>
      <c r="W11" s="111"/>
      <c r="X11" s="111"/>
      <c r="Y11" s="111"/>
      <c r="Z11" s="111"/>
      <c r="AA11" s="111"/>
      <c r="AB11" s="111"/>
      <c r="AC11" s="111"/>
      <c r="AD11" s="111"/>
      <c r="AE11" s="111"/>
      <c r="AF11" s="112"/>
      <c r="AG11" s="110" t="s">
        <v>11</v>
      </c>
      <c r="AH11" s="111"/>
      <c r="AI11" s="111"/>
      <c r="AJ11" s="111"/>
      <c r="AK11" s="111"/>
      <c r="AL11" s="111"/>
      <c r="AM11" s="112"/>
      <c r="AN11" s="110" t="s">
        <v>12</v>
      </c>
      <c r="AO11" s="113"/>
    </row>
    <row r="12" spans="1:41" ht="15.75" customHeight="1" x14ac:dyDescent="0.2">
      <c r="A12" s="120"/>
      <c r="B12" s="120"/>
      <c r="C12" s="108" t="s">
        <v>13</v>
      </c>
      <c r="D12" s="106"/>
      <c r="E12" s="107"/>
      <c r="F12" s="105" t="s">
        <v>14</v>
      </c>
      <c r="G12" s="106"/>
      <c r="H12" s="107"/>
      <c r="I12" s="105" t="s">
        <v>15</v>
      </c>
      <c r="J12" s="106"/>
      <c r="K12" s="106"/>
      <c r="L12" s="106"/>
      <c r="M12" s="106"/>
      <c r="N12" s="106"/>
      <c r="O12" s="106"/>
      <c r="P12" s="106"/>
      <c r="Q12" s="106"/>
      <c r="R12" s="106"/>
      <c r="S12" s="106"/>
      <c r="T12" s="106"/>
      <c r="U12" s="107"/>
      <c r="V12" s="108" t="s">
        <v>16</v>
      </c>
      <c r="W12" s="106"/>
      <c r="X12" s="106"/>
      <c r="Y12" s="106"/>
      <c r="Z12" s="106"/>
      <c r="AA12" s="107"/>
      <c r="AB12" s="114" t="s">
        <v>17</v>
      </c>
      <c r="AC12" s="106"/>
      <c r="AD12" s="106"/>
      <c r="AE12" s="106"/>
      <c r="AF12" s="107"/>
      <c r="AG12" s="108" t="s">
        <v>18</v>
      </c>
      <c r="AH12" s="106"/>
      <c r="AI12" s="107"/>
      <c r="AJ12" s="105" t="s">
        <v>19</v>
      </c>
      <c r="AK12" s="106"/>
      <c r="AL12" s="107"/>
      <c r="AM12" s="94" t="s">
        <v>20</v>
      </c>
      <c r="AN12" s="97" t="s">
        <v>21</v>
      </c>
      <c r="AO12" s="100" t="s">
        <v>22</v>
      </c>
    </row>
    <row r="13" spans="1:41" ht="15.75" customHeight="1" x14ac:dyDescent="0.2">
      <c r="A13" s="120"/>
      <c r="B13" s="120"/>
      <c r="C13" s="97" t="s">
        <v>23</v>
      </c>
      <c r="D13" s="92" t="s">
        <v>24</v>
      </c>
      <c r="E13" s="92" t="s">
        <v>20</v>
      </c>
      <c r="F13" s="92" t="s">
        <v>25</v>
      </c>
      <c r="G13" s="92" t="s">
        <v>26</v>
      </c>
      <c r="H13" s="92" t="s">
        <v>20</v>
      </c>
      <c r="I13" s="92" t="s">
        <v>27</v>
      </c>
      <c r="J13" s="105" t="s">
        <v>28</v>
      </c>
      <c r="K13" s="106"/>
      <c r="L13" s="106"/>
      <c r="M13" s="106"/>
      <c r="N13" s="107"/>
      <c r="O13" s="105" t="s">
        <v>29</v>
      </c>
      <c r="P13" s="106"/>
      <c r="Q13" s="106"/>
      <c r="R13" s="106"/>
      <c r="S13" s="107"/>
      <c r="T13" s="92" t="s">
        <v>30</v>
      </c>
      <c r="U13" s="94" t="s">
        <v>31</v>
      </c>
      <c r="V13" s="108" t="s">
        <v>28</v>
      </c>
      <c r="W13" s="107"/>
      <c r="X13" s="105" t="s">
        <v>29</v>
      </c>
      <c r="Y13" s="106"/>
      <c r="Z13" s="106"/>
      <c r="AA13" s="107"/>
      <c r="AB13" s="109" t="s">
        <v>32</v>
      </c>
      <c r="AC13" s="107"/>
      <c r="AD13" s="109" t="s">
        <v>33</v>
      </c>
      <c r="AE13" s="107"/>
      <c r="AF13" s="89" t="s">
        <v>34</v>
      </c>
      <c r="AG13" s="97" t="s">
        <v>35</v>
      </c>
      <c r="AH13" s="92" t="s">
        <v>36</v>
      </c>
      <c r="AI13" s="92" t="s">
        <v>37</v>
      </c>
      <c r="AJ13" s="92" t="s">
        <v>38</v>
      </c>
      <c r="AK13" s="92" t="s">
        <v>39</v>
      </c>
      <c r="AL13" s="94" t="s">
        <v>40</v>
      </c>
      <c r="AM13" s="95"/>
      <c r="AN13" s="98"/>
      <c r="AO13" s="101"/>
    </row>
    <row r="14" spans="1:41" ht="15.75" customHeight="1" x14ac:dyDescent="0.2">
      <c r="A14" s="120"/>
      <c r="B14" s="120"/>
      <c r="C14" s="98"/>
      <c r="D14" s="93"/>
      <c r="E14" s="93"/>
      <c r="F14" s="93"/>
      <c r="G14" s="93"/>
      <c r="H14" s="93"/>
      <c r="I14" s="93"/>
      <c r="J14" s="105" t="s">
        <v>41</v>
      </c>
      <c r="K14" s="106"/>
      <c r="L14" s="107"/>
      <c r="M14" s="92" t="s">
        <v>42</v>
      </c>
      <c r="N14" s="92" t="s">
        <v>43</v>
      </c>
      <c r="O14" s="105" t="s">
        <v>41</v>
      </c>
      <c r="P14" s="106"/>
      <c r="Q14" s="107"/>
      <c r="R14" s="92" t="s">
        <v>42</v>
      </c>
      <c r="S14" s="92" t="s">
        <v>44</v>
      </c>
      <c r="T14" s="93"/>
      <c r="U14" s="95"/>
      <c r="V14" s="97" t="s">
        <v>45</v>
      </c>
      <c r="W14" s="92" t="s">
        <v>46</v>
      </c>
      <c r="X14" s="105" t="s">
        <v>47</v>
      </c>
      <c r="Y14" s="106"/>
      <c r="Z14" s="107"/>
      <c r="AA14" s="92" t="s">
        <v>48</v>
      </c>
      <c r="AB14" s="89" t="s">
        <v>45</v>
      </c>
      <c r="AC14" s="89" t="s">
        <v>46</v>
      </c>
      <c r="AD14" s="91" t="s">
        <v>49</v>
      </c>
      <c r="AE14" s="91" t="s">
        <v>50</v>
      </c>
      <c r="AF14" s="93"/>
      <c r="AG14" s="98"/>
      <c r="AH14" s="93"/>
      <c r="AI14" s="93"/>
      <c r="AJ14" s="93"/>
      <c r="AK14" s="93"/>
      <c r="AL14" s="95"/>
      <c r="AM14" s="95"/>
      <c r="AN14" s="98"/>
      <c r="AO14" s="101"/>
    </row>
    <row r="15" spans="1:41" ht="24.75" customHeight="1" thickBot="1" x14ac:dyDescent="0.25">
      <c r="A15" s="121"/>
      <c r="B15" s="121"/>
      <c r="C15" s="99"/>
      <c r="D15" s="90"/>
      <c r="E15" s="90"/>
      <c r="F15" s="90"/>
      <c r="G15" s="90"/>
      <c r="H15" s="90"/>
      <c r="I15" s="90"/>
      <c r="J15" s="6" t="s">
        <v>45</v>
      </c>
      <c r="K15" s="6" t="s">
        <v>46</v>
      </c>
      <c r="L15" s="6" t="s">
        <v>51</v>
      </c>
      <c r="M15" s="90"/>
      <c r="N15" s="90"/>
      <c r="O15" s="6" t="s">
        <v>47</v>
      </c>
      <c r="P15" s="6" t="s">
        <v>48</v>
      </c>
      <c r="Q15" s="6" t="s">
        <v>20</v>
      </c>
      <c r="R15" s="90"/>
      <c r="S15" s="90"/>
      <c r="T15" s="90"/>
      <c r="U15" s="96"/>
      <c r="V15" s="99"/>
      <c r="W15" s="90"/>
      <c r="X15" s="6" t="s">
        <v>52</v>
      </c>
      <c r="Y15" s="6" t="s">
        <v>53</v>
      </c>
      <c r="Z15" s="6" t="s">
        <v>20</v>
      </c>
      <c r="AA15" s="90"/>
      <c r="AB15" s="90"/>
      <c r="AC15" s="90"/>
      <c r="AD15" s="90"/>
      <c r="AE15" s="90"/>
      <c r="AF15" s="90"/>
      <c r="AG15" s="99"/>
      <c r="AH15" s="90"/>
      <c r="AI15" s="90"/>
      <c r="AJ15" s="90"/>
      <c r="AK15" s="90"/>
      <c r="AL15" s="96"/>
      <c r="AM15" s="96"/>
      <c r="AN15" s="99"/>
      <c r="AO15" s="102"/>
    </row>
    <row r="16" spans="1:41" ht="15.75" customHeight="1" thickTop="1" x14ac:dyDescent="0.2">
      <c r="A16" s="7"/>
      <c r="B16" s="8"/>
      <c r="C16" s="9"/>
      <c r="D16" s="10"/>
      <c r="E16" s="11">
        <f t="shared" ref="E16:E34" si="0">SUM(C16,D16)</f>
        <v>0</v>
      </c>
      <c r="F16" s="10"/>
      <c r="G16" s="10"/>
      <c r="H16" s="11">
        <f t="shared" ref="H16:H35" si="1">F16+G16</f>
        <v>0</v>
      </c>
      <c r="I16" s="10"/>
      <c r="J16" s="10"/>
      <c r="K16" s="10"/>
      <c r="L16" s="11">
        <f t="shared" ref="L16:L35" si="2">SUM(J16,K16)</f>
        <v>0</v>
      </c>
      <c r="M16" s="10"/>
      <c r="N16" s="12">
        <f t="shared" ref="N16:N35" si="3">SUM(M16)</f>
        <v>0</v>
      </c>
      <c r="O16" s="10"/>
      <c r="P16" s="10"/>
      <c r="Q16" s="11">
        <f t="shared" ref="Q16:Q35" si="4">SUM(O16,P16)</f>
        <v>0</v>
      </c>
      <c r="R16" s="10"/>
      <c r="S16" s="12">
        <f t="shared" ref="S16:S35" si="5">SUM(Q16,R16)</f>
        <v>0</v>
      </c>
      <c r="T16" s="12">
        <f>SUM(L16,Q16)</f>
        <v>0</v>
      </c>
      <c r="U16" s="13">
        <f t="shared" ref="U16:U35" si="6">SUM(I16,N16,S16)</f>
        <v>0</v>
      </c>
      <c r="V16" s="14"/>
      <c r="W16" s="15"/>
      <c r="X16" s="15"/>
      <c r="Y16" s="15"/>
      <c r="Z16" s="12">
        <f t="shared" ref="Z16:Z35" si="7">SUM(X16,Y16)</f>
        <v>0</v>
      </c>
      <c r="AA16" s="15"/>
      <c r="AB16" s="16">
        <f t="shared" ref="AB16:AC31" si="8">IFERROR(V16/J16, 0)</f>
        <v>0</v>
      </c>
      <c r="AC16" s="16">
        <f t="shared" si="8"/>
        <v>0</v>
      </c>
      <c r="AD16" s="16">
        <f t="shared" ref="AD16:AE31" si="9">IFERROR(Z16/O16, 0)</f>
        <v>0</v>
      </c>
      <c r="AE16" s="16">
        <f t="shared" si="9"/>
        <v>0</v>
      </c>
      <c r="AF16" s="16">
        <f t="shared" ref="AF16:AF36" si="10">IFERROR(SUM(V16,W16,Z16,AA16)/SUM(L16,Q16), 0)</f>
        <v>0</v>
      </c>
      <c r="AG16" s="14"/>
      <c r="AH16" s="15"/>
      <c r="AI16" s="15"/>
      <c r="AJ16" s="15"/>
      <c r="AK16" s="15"/>
      <c r="AL16" s="17"/>
      <c r="AM16" s="13">
        <f t="shared" ref="AM16:AM35" si="11">SUM(AG16,AH16,AI16)</f>
        <v>0</v>
      </c>
      <c r="AN16" s="14"/>
      <c r="AO16" s="18">
        <f t="shared" ref="AO16:AO36" si="12">IFERROR((AN16/B16)*1000000, 0)</f>
        <v>0</v>
      </c>
    </row>
    <row r="17" spans="1:41" ht="15.75" customHeight="1" x14ac:dyDescent="0.2">
      <c r="A17" s="19"/>
      <c r="B17" s="20"/>
      <c r="C17" s="21"/>
      <c r="D17" s="22"/>
      <c r="E17" s="23">
        <f t="shared" si="0"/>
        <v>0</v>
      </c>
      <c r="F17" s="22"/>
      <c r="G17" s="22"/>
      <c r="H17" s="23">
        <f t="shared" si="1"/>
        <v>0</v>
      </c>
      <c r="I17" s="22"/>
      <c r="J17" s="22"/>
      <c r="K17" s="22"/>
      <c r="L17" s="23">
        <f t="shared" si="2"/>
        <v>0</v>
      </c>
      <c r="M17" s="22"/>
      <c r="N17" s="24">
        <f t="shared" si="3"/>
        <v>0</v>
      </c>
      <c r="O17" s="22"/>
      <c r="P17" s="22"/>
      <c r="Q17" s="23">
        <f t="shared" si="4"/>
        <v>0</v>
      </c>
      <c r="R17" s="22"/>
      <c r="S17" s="24">
        <f t="shared" si="5"/>
        <v>0</v>
      </c>
      <c r="T17" s="24">
        <f t="shared" ref="T17:T35" si="13">SUM(J17,K17,O17,P17)</f>
        <v>0</v>
      </c>
      <c r="U17" s="25">
        <f t="shared" si="6"/>
        <v>0</v>
      </c>
      <c r="V17" s="26"/>
      <c r="W17" s="27"/>
      <c r="X17" s="27"/>
      <c r="Y17" s="27"/>
      <c r="Z17" s="24">
        <f t="shared" si="7"/>
        <v>0</v>
      </c>
      <c r="AA17" s="27"/>
      <c r="AB17" s="28">
        <f t="shared" si="8"/>
        <v>0</v>
      </c>
      <c r="AC17" s="28">
        <f t="shared" si="8"/>
        <v>0</v>
      </c>
      <c r="AD17" s="28">
        <f t="shared" si="9"/>
        <v>0</v>
      </c>
      <c r="AE17" s="28">
        <f t="shared" si="9"/>
        <v>0</v>
      </c>
      <c r="AF17" s="28">
        <f t="shared" si="10"/>
        <v>0</v>
      </c>
      <c r="AG17" s="26"/>
      <c r="AH17" s="27"/>
      <c r="AI17" s="27"/>
      <c r="AJ17" s="27"/>
      <c r="AK17" s="27"/>
      <c r="AL17" s="29"/>
      <c r="AM17" s="25">
        <f t="shared" si="11"/>
        <v>0</v>
      </c>
      <c r="AN17" s="26"/>
      <c r="AO17" s="30">
        <f t="shared" si="12"/>
        <v>0</v>
      </c>
    </row>
    <row r="18" spans="1:41" ht="15.75" customHeight="1" x14ac:dyDescent="0.2">
      <c r="A18" s="19"/>
      <c r="B18" s="20"/>
      <c r="C18" s="21"/>
      <c r="D18" s="22"/>
      <c r="E18" s="23">
        <f t="shared" si="0"/>
        <v>0</v>
      </c>
      <c r="F18" s="22"/>
      <c r="G18" s="22"/>
      <c r="H18" s="23">
        <f t="shared" si="1"/>
        <v>0</v>
      </c>
      <c r="I18" s="22"/>
      <c r="J18" s="22"/>
      <c r="K18" s="22"/>
      <c r="L18" s="23">
        <f t="shared" si="2"/>
        <v>0</v>
      </c>
      <c r="M18" s="22"/>
      <c r="N18" s="24">
        <f t="shared" si="3"/>
        <v>0</v>
      </c>
      <c r="O18" s="22"/>
      <c r="P18" s="22"/>
      <c r="Q18" s="23">
        <f t="shared" si="4"/>
        <v>0</v>
      </c>
      <c r="R18" s="22"/>
      <c r="S18" s="24">
        <f t="shared" si="5"/>
        <v>0</v>
      </c>
      <c r="T18" s="24">
        <f t="shared" si="13"/>
        <v>0</v>
      </c>
      <c r="U18" s="25">
        <f t="shared" si="6"/>
        <v>0</v>
      </c>
      <c r="V18" s="26"/>
      <c r="W18" s="27"/>
      <c r="X18" s="27"/>
      <c r="Y18" s="27"/>
      <c r="Z18" s="24">
        <f t="shared" si="7"/>
        <v>0</v>
      </c>
      <c r="AA18" s="27"/>
      <c r="AB18" s="28">
        <f t="shared" si="8"/>
        <v>0</v>
      </c>
      <c r="AC18" s="28">
        <f t="shared" si="8"/>
        <v>0</v>
      </c>
      <c r="AD18" s="28">
        <f t="shared" si="9"/>
        <v>0</v>
      </c>
      <c r="AE18" s="28">
        <f t="shared" si="9"/>
        <v>0</v>
      </c>
      <c r="AF18" s="28">
        <f t="shared" si="10"/>
        <v>0</v>
      </c>
      <c r="AG18" s="26"/>
      <c r="AH18" s="27"/>
      <c r="AI18" s="27"/>
      <c r="AJ18" s="27"/>
      <c r="AK18" s="27"/>
      <c r="AL18" s="29"/>
      <c r="AM18" s="25">
        <f t="shared" si="11"/>
        <v>0</v>
      </c>
      <c r="AN18" s="26"/>
      <c r="AO18" s="30">
        <f t="shared" si="12"/>
        <v>0</v>
      </c>
    </row>
    <row r="19" spans="1:41" ht="15.75" customHeight="1" x14ac:dyDescent="0.2">
      <c r="A19" s="19"/>
      <c r="B19" s="20"/>
      <c r="C19" s="21"/>
      <c r="D19" s="22"/>
      <c r="E19" s="23">
        <f t="shared" si="0"/>
        <v>0</v>
      </c>
      <c r="F19" s="22"/>
      <c r="G19" s="22"/>
      <c r="H19" s="23">
        <f t="shared" si="1"/>
        <v>0</v>
      </c>
      <c r="I19" s="22"/>
      <c r="J19" s="22"/>
      <c r="K19" s="22"/>
      <c r="L19" s="23">
        <f t="shared" si="2"/>
        <v>0</v>
      </c>
      <c r="M19" s="22"/>
      <c r="N19" s="24">
        <f t="shared" si="3"/>
        <v>0</v>
      </c>
      <c r="O19" s="22"/>
      <c r="P19" s="22"/>
      <c r="Q19" s="23">
        <f t="shared" si="4"/>
        <v>0</v>
      </c>
      <c r="R19" s="22"/>
      <c r="S19" s="24">
        <f t="shared" si="5"/>
        <v>0</v>
      </c>
      <c r="T19" s="24">
        <f t="shared" si="13"/>
        <v>0</v>
      </c>
      <c r="U19" s="25">
        <f t="shared" si="6"/>
        <v>0</v>
      </c>
      <c r="V19" s="26"/>
      <c r="W19" s="27"/>
      <c r="X19" s="27"/>
      <c r="Y19" s="27"/>
      <c r="Z19" s="24">
        <f t="shared" si="7"/>
        <v>0</v>
      </c>
      <c r="AA19" s="27"/>
      <c r="AB19" s="28">
        <f t="shared" si="8"/>
        <v>0</v>
      </c>
      <c r="AC19" s="28">
        <f t="shared" si="8"/>
        <v>0</v>
      </c>
      <c r="AD19" s="28">
        <f t="shared" si="9"/>
        <v>0</v>
      </c>
      <c r="AE19" s="28">
        <f t="shared" si="9"/>
        <v>0</v>
      </c>
      <c r="AF19" s="28">
        <f t="shared" si="10"/>
        <v>0</v>
      </c>
      <c r="AG19" s="26"/>
      <c r="AH19" s="27"/>
      <c r="AI19" s="27"/>
      <c r="AJ19" s="27"/>
      <c r="AK19" s="27"/>
      <c r="AL19" s="29"/>
      <c r="AM19" s="25">
        <f t="shared" si="11"/>
        <v>0</v>
      </c>
      <c r="AN19" s="26"/>
      <c r="AO19" s="30">
        <f t="shared" si="12"/>
        <v>0</v>
      </c>
    </row>
    <row r="20" spans="1:41" ht="15.75" customHeight="1" x14ac:dyDescent="0.2">
      <c r="A20" s="19"/>
      <c r="B20" s="20"/>
      <c r="C20" s="21"/>
      <c r="D20" s="22"/>
      <c r="E20" s="23">
        <f t="shared" si="0"/>
        <v>0</v>
      </c>
      <c r="F20" s="22"/>
      <c r="G20" s="22"/>
      <c r="H20" s="23">
        <f t="shared" si="1"/>
        <v>0</v>
      </c>
      <c r="I20" s="22"/>
      <c r="J20" s="22"/>
      <c r="K20" s="22"/>
      <c r="L20" s="23">
        <f t="shared" si="2"/>
        <v>0</v>
      </c>
      <c r="M20" s="22"/>
      <c r="N20" s="24">
        <f t="shared" si="3"/>
        <v>0</v>
      </c>
      <c r="O20" s="22"/>
      <c r="P20" s="22"/>
      <c r="Q20" s="23">
        <f t="shared" si="4"/>
        <v>0</v>
      </c>
      <c r="R20" s="22"/>
      <c r="S20" s="24">
        <f t="shared" si="5"/>
        <v>0</v>
      </c>
      <c r="T20" s="24">
        <f t="shared" si="13"/>
        <v>0</v>
      </c>
      <c r="U20" s="25">
        <f t="shared" si="6"/>
        <v>0</v>
      </c>
      <c r="V20" s="26"/>
      <c r="W20" s="27"/>
      <c r="X20" s="27"/>
      <c r="Y20" s="27"/>
      <c r="Z20" s="24">
        <f t="shared" si="7"/>
        <v>0</v>
      </c>
      <c r="AA20" s="27"/>
      <c r="AB20" s="28">
        <f t="shared" si="8"/>
        <v>0</v>
      </c>
      <c r="AC20" s="28">
        <f t="shared" si="8"/>
        <v>0</v>
      </c>
      <c r="AD20" s="28">
        <f t="shared" si="9"/>
        <v>0</v>
      </c>
      <c r="AE20" s="28">
        <f t="shared" si="9"/>
        <v>0</v>
      </c>
      <c r="AF20" s="28">
        <f t="shared" si="10"/>
        <v>0</v>
      </c>
      <c r="AG20" s="26"/>
      <c r="AH20" s="27"/>
      <c r="AI20" s="27"/>
      <c r="AJ20" s="27"/>
      <c r="AK20" s="27"/>
      <c r="AL20" s="29"/>
      <c r="AM20" s="25">
        <f t="shared" si="11"/>
        <v>0</v>
      </c>
      <c r="AN20" s="26"/>
      <c r="AO20" s="30">
        <f t="shared" si="12"/>
        <v>0</v>
      </c>
    </row>
    <row r="21" spans="1:41" ht="15.75" customHeight="1" x14ac:dyDescent="0.2">
      <c r="A21" s="19"/>
      <c r="B21" s="20"/>
      <c r="C21" s="21"/>
      <c r="D21" s="22"/>
      <c r="E21" s="23">
        <f t="shared" si="0"/>
        <v>0</v>
      </c>
      <c r="F21" s="22"/>
      <c r="G21" s="22"/>
      <c r="H21" s="23">
        <f t="shared" si="1"/>
        <v>0</v>
      </c>
      <c r="I21" s="22"/>
      <c r="J21" s="22"/>
      <c r="K21" s="22"/>
      <c r="L21" s="23">
        <f t="shared" si="2"/>
        <v>0</v>
      </c>
      <c r="M21" s="22"/>
      <c r="N21" s="24">
        <f t="shared" si="3"/>
        <v>0</v>
      </c>
      <c r="O21" s="22"/>
      <c r="P21" s="22"/>
      <c r="Q21" s="23">
        <f t="shared" si="4"/>
        <v>0</v>
      </c>
      <c r="R21" s="22"/>
      <c r="S21" s="24">
        <f t="shared" si="5"/>
        <v>0</v>
      </c>
      <c r="T21" s="24">
        <f t="shared" si="13"/>
        <v>0</v>
      </c>
      <c r="U21" s="25">
        <f t="shared" si="6"/>
        <v>0</v>
      </c>
      <c r="V21" s="26"/>
      <c r="W21" s="27"/>
      <c r="X21" s="27"/>
      <c r="Y21" s="27"/>
      <c r="Z21" s="24">
        <f t="shared" si="7"/>
        <v>0</v>
      </c>
      <c r="AA21" s="27"/>
      <c r="AB21" s="28">
        <f t="shared" si="8"/>
        <v>0</v>
      </c>
      <c r="AC21" s="28">
        <f t="shared" si="8"/>
        <v>0</v>
      </c>
      <c r="AD21" s="28">
        <f t="shared" si="9"/>
        <v>0</v>
      </c>
      <c r="AE21" s="28">
        <f t="shared" si="9"/>
        <v>0</v>
      </c>
      <c r="AF21" s="28">
        <f t="shared" si="10"/>
        <v>0</v>
      </c>
      <c r="AG21" s="26"/>
      <c r="AH21" s="27"/>
      <c r="AI21" s="27"/>
      <c r="AJ21" s="27"/>
      <c r="AK21" s="27"/>
      <c r="AL21" s="29"/>
      <c r="AM21" s="25">
        <f t="shared" si="11"/>
        <v>0</v>
      </c>
      <c r="AN21" s="26"/>
      <c r="AO21" s="30">
        <f t="shared" si="12"/>
        <v>0</v>
      </c>
    </row>
    <row r="22" spans="1:41" ht="15.75" customHeight="1" x14ac:dyDescent="0.2">
      <c r="A22" s="19"/>
      <c r="B22" s="20"/>
      <c r="C22" s="21"/>
      <c r="D22" s="22"/>
      <c r="E22" s="23">
        <f t="shared" si="0"/>
        <v>0</v>
      </c>
      <c r="F22" s="22"/>
      <c r="G22" s="22"/>
      <c r="H22" s="23">
        <f t="shared" si="1"/>
        <v>0</v>
      </c>
      <c r="I22" s="22"/>
      <c r="J22" s="22"/>
      <c r="K22" s="22"/>
      <c r="L22" s="23">
        <f t="shared" si="2"/>
        <v>0</v>
      </c>
      <c r="M22" s="22"/>
      <c r="N22" s="24">
        <f t="shared" si="3"/>
        <v>0</v>
      </c>
      <c r="O22" s="22"/>
      <c r="P22" s="22"/>
      <c r="Q22" s="23">
        <f t="shared" si="4"/>
        <v>0</v>
      </c>
      <c r="R22" s="22"/>
      <c r="S22" s="24">
        <f t="shared" si="5"/>
        <v>0</v>
      </c>
      <c r="T22" s="24">
        <f t="shared" si="13"/>
        <v>0</v>
      </c>
      <c r="U22" s="25">
        <f t="shared" si="6"/>
        <v>0</v>
      </c>
      <c r="V22" s="26"/>
      <c r="W22" s="27"/>
      <c r="X22" s="27"/>
      <c r="Y22" s="27"/>
      <c r="Z22" s="24">
        <f t="shared" si="7"/>
        <v>0</v>
      </c>
      <c r="AA22" s="27"/>
      <c r="AB22" s="28">
        <f t="shared" si="8"/>
        <v>0</v>
      </c>
      <c r="AC22" s="28">
        <f t="shared" si="8"/>
        <v>0</v>
      </c>
      <c r="AD22" s="28">
        <f t="shared" si="9"/>
        <v>0</v>
      </c>
      <c r="AE22" s="28">
        <f t="shared" si="9"/>
        <v>0</v>
      </c>
      <c r="AF22" s="28">
        <f t="shared" si="10"/>
        <v>0</v>
      </c>
      <c r="AG22" s="26"/>
      <c r="AH22" s="27"/>
      <c r="AI22" s="27"/>
      <c r="AJ22" s="27"/>
      <c r="AK22" s="27"/>
      <c r="AL22" s="29"/>
      <c r="AM22" s="25">
        <f t="shared" si="11"/>
        <v>0</v>
      </c>
      <c r="AN22" s="26"/>
      <c r="AO22" s="30">
        <f t="shared" si="12"/>
        <v>0</v>
      </c>
    </row>
    <row r="23" spans="1:41" ht="15.75" customHeight="1" x14ac:dyDescent="0.2">
      <c r="A23" s="19"/>
      <c r="B23" s="20"/>
      <c r="C23" s="21"/>
      <c r="D23" s="22"/>
      <c r="E23" s="23">
        <f t="shared" si="0"/>
        <v>0</v>
      </c>
      <c r="F23" s="22"/>
      <c r="G23" s="22"/>
      <c r="H23" s="23">
        <f t="shared" si="1"/>
        <v>0</v>
      </c>
      <c r="I23" s="22"/>
      <c r="J23" s="22"/>
      <c r="K23" s="22"/>
      <c r="L23" s="23">
        <f t="shared" si="2"/>
        <v>0</v>
      </c>
      <c r="M23" s="22"/>
      <c r="N23" s="24">
        <f t="shared" si="3"/>
        <v>0</v>
      </c>
      <c r="O23" s="22"/>
      <c r="P23" s="22"/>
      <c r="Q23" s="23">
        <f t="shared" si="4"/>
        <v>0</v>
      </c>
      <c r="R23" s="22"/>
      <c r="S23" s="24">
        <f t="shared" si="5"/>
        <v>0</v>
      </c>
      <c r="T23" s="24">
        <f t="shared" si="13"/>
        <v>0</v>
      </c>
      <c r="U23" s="25">
        <f t="shared" si="6"/>
        <v>0</v>
      </c>
      <c r="V23" s="26"/>
      <c r="W23" s="27"/>
      <c r="X23" s="27"/>
      <c r="Y23" s="27"/>
      <c r="Z23" s="24">
        <f t="shared" si="7"/>
        <v>0</v>
      </c>
      <c r="AA23" s="27"/>
      <c r="AB23" s="28">
        <f t="shared" si="8"/>
        <v>0</v>
      </c>
      <c r="AC23" s="28">
        <f t="shared" si="8"/>
        <v>0</v>
      </c>
      <c r="AD23" s="28">
        <f t="shared" si="9"/>
        <v>0</v>
      </c>
      <c r="AE23" s="28">
        <f t="shared" si="9"/>
        <v>0</v>
      </c>
      <c r="AF23" s="28">
        <f t="shared" si="10"/>
        <v>0</v>
      </c>
      <c r="AG23" s="26"/>
      <c r="AH23" s="27"/>
      <c r="AI23" s="27"/>
      <c r="AJ23" s="27"/>
      <c r="AK23" s="27"/>
      <c r="AL23" s="29"/>
      <c r="AM23" s="25">
        <f t="shared" si="11"/>
        <v>0</v>
      </c>
      <c r="AN23" s="26"/>
      <c r="AO23" s="30">
        <f t="shared" si="12"/>
        <v>0</v>
      </c>
    </row>
    <row r="24" spans="1:41" ht="15.75" customHeight="1" x14ac:dyDescent="0.2">
      <c r="A24" s="19"/>
      <c r="B24" s="20"/>
      <c r="C24" s="21"/>
      <c r="D24" s="22"/>
      <c r="E24" s="23">
        <f t="shared" si="0"/>
        <v>0</v>
      </c>
      <c r="F24" s="22"/>
      <c r="G24" s="22"/>
      <c r="H24" s="23">
        <f t="shared" si="1"/>
        <v>0</v>
      </c>
      <c r="I24" s="22"/>
      <c r="J24" s="22"/>
      <c r="K24" s="22"/>
      <c r="L24" s="23">
        <f t="shared" si="2"/>
        <v>0</v>
      </c>
      <c r="M24" s="22"/>
      <c r="N24" s="24">
        <f t="shared" si="3"/>
        <v>0</v>
      </c>
      <c r="O24" s="22"/>
      <c r="P24" s="22"/>
      <c r="Q24" s="23">
        <f t="shared" si="4"/>
        <v>0</v>
      </c>
      <c r="R24" s="22"/>
      <c r="S24" s="24">
        <f t="shared" si="5"/>
        <v>0</v>
      </c>
      <c r="T24" s="24">
        <f t="shared" si="13"/>
        <v>0</v>
      </c>
      <c r="U24" s="25">
        <f t="shared" si="6"/>
        <v>0</v>
      </c>
      <c r="V24" s="26"/>
      <c r="W24" s="27"/>
      <c r="X24" s="27"/>
      <c r="Y24" s="27"/>
      <c r="Z24" s="24">
        <f t="shared" si="7"/>
        <v>0</v>
      </c>
      <c r="AA24" s="27"/>
      <c r="AB24" s="28">
        <f t="shared" si="8"/>
        <v>0</v>
      </c>
      <c r="AC24" s="28">
        <f t="shared" si="8"/>
        <v>0</v>
      </c>
      <c r="AD24" s="28">
        <f t="shared" si="9"/>
        <v>0</v>
      </c>
      <c r="AE24" s="28">
        <f t="shared" si="9"/>
        <v>0</v>
      </c>
      <c r="AF24" s="28">
        <f t="shared" si="10"/>
        <v>0</v>
      </c>
      <c r="AG24" s="26"/>
      <c r="AH24" s="27"/>
      <c r="AI24" s="27"/>
      <c r="AJ24" s="27"/>
      <c r="AK24" s="27"/>
      <c r="AL24" s="29"/>
      <c r="AM24" s="25">
        <f t="shared" si="11"/>
        <v>0</v>
      </c>
      <c r="AN24" s="26"/>
      <c r="AO24" s="30">
        <f t="shared" si="12"/>
        <v>0</v>
      </c>
    </row>
    <row r="25" spans="1:41" ht="15.75" customHeight="1" x14ac:dyDescent="0.2">
      <c r="A25" s="19"/>
      <c r="B25" s="20"/>
      <c r="C25" s="21"/>
      <c r="D25" s="22"/>
      <c r="E25" s="23">
        <f t="shared" si="0"/>
        <v>0</v>
      </c>
      <c r="F25" s="22"/>
      <c r="G25" s="22"/>
      <c r="H25" s="23">
        <f t="shared" si="1"/>
        <v>0</v>
      </c>
      <c r="I25" s="22"/>
      <c r="J25" s="22"/>
      <c r="K25" s="22"/>
      <c r="L25" s="23">
        <f t="shared" si="2"/>
        <v>0</v>
      </c>
      <c r="M25" s="22"/>
      <c r="N25" s="24">
        <f t="shared" si="3"/>
        <v>0</v>
      </c>
      <c r="O25" s="22"/>
      <c r="P25" s="22"/>
      <c r="Q25" s="23">
        <f t="shared" si="4"/>
        <v>0</v>
      </c>
      <c r="R25" s="22"/>
      <c r="S25" s="24">
        <f t="shared" si="5"/>
        <v>0</v>
      </c>
      <c r="T25" s="24">
        <f t="shared" si="13"/>
        <v>0</v>
      </c>
      <c r="U25" s="25">
        <f t="shared" si="6"/>
        <v>0</v>
      </c>
      <c r="V25" s="26"/>
      <c r="W25" s="27"/>
      <c r="X25" s="27"/>
      <c r="Y25" s="27"/>
      <c r="Z25" s="24">
        <f t="shared" si="7"/>
        <v>0</v>
      </c>
      <c r="AA25" s="27"/>
      <c r="AB25" s="28">
        <f t="shared" si="8"/>
        <v>0</v>
      </c>
      <c r="AC25" s="28">
        <f t="shared" si="8"/>
        <v>0</v>
      </c>
      <c r="AD25" s="28">
        <f t="shared" si="9"/>
        <v>0</v>
      </c>
      <c r="AE25" s="28">
        <f t="shared" si="9"/>
        <v>0</v>
      </c>
      <c r="AF25" s="28">
        <f t="shared" si="10"/>
        <v>0</v>
      </c>
      <c r="AG25" s="26"/>
      <c r="AH25" s="27"/>
      <c r="AI25" s="27"/>
      <c r="AJ25" s="27"/>
      <c r="AK25" s="27"/>
      <c r="AL25" s="29"/>
      <c r="AM25" s="25">
        <f t="shared" si="11"/>
        <v>0</v>
      </c>
      <c r="AN25" s="26"/>
      <c r="AO25" s="30">
        <f t="shared" si="12"/>
        <v>0</v>
      </c>
    </row>
    <row r="26" spans="1:41" ht="15.75" customHeight="1" x14ac:dyDescent="0.2">
      <c r="A26" s="19"/>
      <c r="B26" s="20"/>
      <c r="C26" s="21"/>
      <c r="D26" s="22"/>
      <c r="E26" s="23">
        <f t="shared" si="0"/>
        <v>0</v>
      </c>
      <c r="F26" s="22"/>
      <c r="G26" s="22"/>
      <c r="H26" s="23">
        <f t="shared" si="1"/>
        <v>0</v>
      </c>
      <c r="I26" s="22"/>
      <c r="J26" s="22"/>
      <c r="K26" s="22"/>
      <c r="L26" s="23">
        <f t="shared" si="2"/>
        <v>0</v>
      </c>
      <c r="M26" s="22"/>
      <c r="N26" s="24">
        <f t="shared" si="3"/>
        <v>0</v>
      </c>
      <c r="O26" s="22"/>
      <c r="P26" s="22"/>
      <c r="Q26" s="23">
        <f t="shared" si="4"/>
        <v>0</v>
      </c>
      <c r="R26" s="22"/>
      <c r="S26" s="24">
        <f t="shared" si="5"/>
        <v>0</v>
      </c>
      <c r="T26" s="24">
        <f t="shared" si="13"/>
        <v>0</v>
      </c>
      <c r="U26" s="25">
        <f t="shared" si="6"/>
        <v>0</v>
      </c>
      <c r="V26" s="26"/>
      <c r="W26" s="27"/>
      <c r="X26" s="27"/>
      <c r="Y26" s="27"/>
      <c r="Z26" s="24">
        <f t="shared" si="7"/>
        <v>0</v>
      </c>
      <c r="AA26" s="27"/>
      <c r="AB26" s="28">
        <f t="shared" si="8"/>
        <v>0</v>
      </c>
      <c r="AC26" s="28">
        <f t="shared" si="8"/>
        <v>0</v>
      </c>
      <c r="AD26" s="28">
        <f t="shared" si="9"/>
        <v>0</v>
      </c>
      <c r="AE26" s="28">
        <f t="shared" si="9"/>
        <v>0</v>
      </c>
      <c r="AF26" s="28">
        <f t="shared" si="10"/>
        <v>0</v>
      </c>
      <c r="AG26" s="26"/>
      <c r="AH26" s="27"/>
      <c r="AI26" s="27"/>
      <c r="AJ26" s="27"/>
      <c r="AK26" s="27"/>
      <c r="AL26" s="29"/>
      <c r="AM26" s="25">
        <f t="shared" si="11"/>
        <v>0</v>
      </c>
      <c r="AN26" s="26"/>
      <c r="AO26" s="30">
        <f t="shared" si="12"/>
        <v>0</v>
      </c>
    </row>
    <row r="27" spans="1:41" ht="15.75" customHeight="1" x14ac:dyDescent="0.2">
      <c r="A27" s="19"/>
      <c r="B27" s="20"/>
      <c r="C27" s="21"/>
      <c r="D27" s="22"/>
      <c r="E27" s="23">
        <f t="shared" si="0"/>
        <v>0</v>
      </c>
      <c r="F27" s="22"/>
      <c r="G27" s="22"/>
      <c r="H27" s="23">
        <f t="shared" si="1"/>
        <v>0</v>
      </c>
      <c r="I27" s="22"/>
      <c r="J27" s="22"/>
      <c r="K27" s="22"/>
      <c r="L27" s="23">
        <f t="shared" si="2"/>
        <v>0</v>
      </c>
      <c r="M27" s="22"/>
      <c r="N27" s="24">
        <f t="shared" si="3"/>
        <v>0</v>
      </c>
      <c r="O27" s="22"/>
      <c r="P27" s="22"/>
      <c r="Q27" s="23">
        <f t="shared" si="4"/>
        <v>0</v>
      </c>
      <c r="R27" s="22"/>
      <c r="S27" s="24">
        <f t="shared" si="5"/>
        <v>0</v>
      </c>
      <c r="T27" s="24">
        <f t="shared" si="13"/>
        <v>0</v>
      </c>
      <c r="U27" s="25">
        <f t="shared" si="6"/>
        <v>0</v>
      </c>
      <c r="V27" s="26"/>
      <c r="W27" s="27"/>
      <c r="X27" s="27"/>
      <c r="Y27" s="27"/>
      <c r="Z27" s="24">
        <f t="shared" si="7"/>
        <v>0</v>
      </c>
      <c r="AA27" s="27"/>
      <c r="AB27" s="28">
        <f t="shared" si="8"/>
        <v>0</v>
      </c>
      <c r="AC27" s="28">
        <f t="shared" si="8"/>
        <v>0</v>
      </c>
      <c r="AD27" s="28">
        <f t="shared" si="9"/>
        <v>0</v>
      </c>
      <c r="AE27" s="28">
        <f t="shared" si="9"/>
        <v>0</v>
      </c>
      <c r="AF27" s="28">
        <f t="shared" si="10"/>
        <v>0</v>
      </c>
      <c r="AG27" s="26"/>
      <c r="AH27" s="27"/>
      <c r="AI27" s="27"/>
      <c r="AJ27" s="27"/>
      <c r="AK27" s="27"/>
      <c r="AL27" s="29"/>
      <c r="AM27" s="25">
        <f t="shared" si="11"/>
        <v>0</v>
      </c>
      <c r="AN27" s="26"/>
      <c r="AO27" s="30">
        <f t="shared" si="12"/>
        <v>0</v>
      </c>
    </row>
    <row r="28" spans="1:41" ht="15.75" customHeight="1" x14ac:dyDescent="0.2">
      <c r="A28" s="19"/>
      <c r="B28" s="20"/>
      <c r="C28" s="21"/>
      <c r="D28" s="22"/>
      <c r="E28" s="23">
        <f t="shared" si="0"/>
        <v>0</v>
      </c>
      <c r="F28" s="22"/>
      <c r="G28" s="22"/>
      <c r="H28" s="23">
        <f t="shared" si="1"/>
        <v>0</v>
      </c>
      <c r="I28" s="22"/>
      <c r="J28" s="22"/>
      <c r="K28" s="22"/>
      <c r="L28" s="23">
        <f t="shared" si="2"/>
        <v>0</v>
      </c>
      <c r="M28" s="22"/>
      <c r="N28" s="24">
        <f t="shared" si="3"/>
        <v>0</v>
      </c>
      <c r="O28" s="22"/>
      <c r="P28" s="22"/>
      <c r="Q28" s="23">
        <f t="shared" si="4"/>
        <v>0</v>
      </c>
      <c r="R28" s="22"/>
      <c r="S28" s="24">
        <f t="shared" si="5"/>
        <v>0</v>
      </c>
      <c r="T28" s="24">
        <f t="shared" si="13"/>
        <v>0</v>
      </c>
      <c r="U28" s="25">
        <f t="shared" si="6"/>
        <v>0</v>
      </c>
      <c r="V28" s="26"/>
      <c r="W28" s="27"/>
      <c r="X28" s="27"/>
      <c r="Y28" s="27"/>
      <c r="Z28" s="24">
        <f t="shared" si="7"/>
        <v>0</v>
      </c>
      <c r="AA28" s="27"/>
      <c r="AB28" s="28">
        <f t="shared" si="8"/>
        <v>0</v>
      </c>
      <c r="AC28" s="28">
        <f t="shared" si="8"/>
        <v>0</v>
      </c>
      <c r="AD28" s="28">
        <f t="shared" si="9"/>
        <v>0</v>
      </c>
      <c r="AE28" s="28">
        <f t="shared" si="9"/>
        <v>0</v>
      </c>
      <c r="AF28" s="28">
        <f t="shared" si="10"/>
        <v>0</v>
      </c>
      <c r="AG28" s="26"/>
      <c r="AH28" s="27"/>
      <c r="AI28" s="27"/>
      <c r="AJ28" s="27"/>
      <c r="AK28" s="27"/>
      <c r="AL28" s="29"/>
      <c r="AM28" s="25">
        <f t="shared" si="11"/>
        <v>0</v>
      </c>
      <c r="AN28" s="26"/>
      <c r="AO28" s="30">
        <f t="shared" si="12"/>
        <v>0</v>
      </c>
    </row>
    <row r="29" spans="1:41" ht="15.75" customHeight="1" x14ac:dyDescent="0.2">
      <c r="A29" s="19"/>
      <c r="B29" s="20"/>
      <c r="C29" s="21"/>
      <c r="D29" s="22"/>
      <c r="E29" s="23">
        <f t="shared" si="0"/>
        <v>0</v>
      </c>
      <c r="F29" s="22"/>
      <c r="G29" s="22"/>
      <c r="H29" s="23">
        <f t="shared" si="1"/>
        <v>0</v>
      </c>
      <c r="I29" s="22"/>
      <c r="J29" s="22"/>
      <c r="K29" s="22"/>
      <c r="L29" s="23">
        <f t="shared" si="2"/>
        <v>0</v>
      </c>
      <c r="M29" s="22"/>
      <c r="N29" s="24">
        <f t="shared" si="3"/>
        <v>0</v>
      </c>
      <c r="O29" s="22"/>
      <c r="P29" s="22"/>
      <c r="Q29" s="23">
        <f t="shared" si="4"/>
        <v>0</v>
      </c>
      <c r="R29" s="22"/>
      <c r="S29" s="24">
        <f t="shared" si="5"/>
        <v>0</v>
      </c>
      <c r="T29" s="24">
        <f t="shared" si="13"/>
        <v>0</v>
      </c>
      <c r="U29" s="25">
        <f t="shared" si="6"/>
        <v>0</v>
      </c>
      <c r="V29" s="26"/>
      <c r="W29" s="27"/>
      <c r="X29" s="27"/>
      <c r="Y29" s="27"/>
      <c r="Z29" s="24">
        <f t="shared" si="7"/>
        <v>0</v>
      </c>
      <c r="AA29" s="27"/>
      <c r="AB29" s="28">
        <f t="shared" si="8"/>
        <v>0</v>
      </c>
      <c r="AC29" s="28">
        <f t="shared" si="8"/>
        <v>0</v>
      </c>
      <c r="AD29" s="28">
        <f t="shared" si="9"/>
        <v>0</v>
      </c>
      <c r="AE29" s="28">
        <f t="shared" si="9"/>
        <v>0</v>
      </c>
      <c r="AF29" s="28">
        <f t="shared" si="10"/>
        <v>0</v>
      </c>
      <c r="AG29" s="26"/>
      <c r="AH29" s="27"/>
      <c r="AI29" s="27"/>
      <c r="AJ29" s="27"/>
      <c r="AK29" s="27"/>
      <c r="AL29" s="29"/>
      <c r="AM29" s="25">
        <f t="shared" si="11"/>
        <v>0</v>
      </c>
      <c r="AN29" s="26"/>
      <c r="AO29" s="30">
        <f t="shared" si="12"/>
        <v>0</v>
      </c>
    </row>
    <row r="30" spans="1:41" ht="15.75" customHeight="1" x14ac:dyDescent="0.2">
      <c r="A30" s="19"/>
      <c r="B30" s="20"/>
      <c r="C30" s="21"/>
      <c r="D30" s="22"/>
      <c r="E30" s="23">
        <f t="shared" si="0"/>
        <v>0</v>
      </c>
      <c r="F30" s="22"/>
      <c r="G30" s="22"/>
      <c r="H30" s="23">
        <f t="shared" si="1"/>
        <v>0</v>
      </c>
      <c r="I30" s="22"/>
      <c r="J30" s="22"/>
      <c r="K30" s="22"/>
      <c r="L30" s="23">
        <f t="shared" si="2"/>
        <v>0</v>
      </c>
      <c r="M30" s="22"/>
      <c r="N30" s="24">
        <f t="shared" si="3"/>
        <v>0</v>
      </c>
      <c r="O30" s="22"/>
      <c r="P30" s="22"/>
      <c r="Q30" s="23">
        <f t="shared" si="4"/>
        <v>0</v>
      </c>
      <c r="R30" s="22"/>
      <c r="S30" s="24">
        <f t="shared" si="5"/>
        <v>0</v>
      </c>
      <c r="T30" s="24">
        <f t="shared" si="13"/>
        <v>0</v>
      </c>
      <c r="U30" s="25">
        <f t="shared" si="6"/>
        <v>0</v>
      </c>
      <c r="V30" s="26"/>
      <c r="W30" s="27"/>
      <c r="X30" s="27"/>
      <c r="Y30" s="27"/>
      <c r="Z30" s="24">
        <f t="shared" si="7"/>
        <v>0</v>
      </c>
      <c r="AA30" s="27"/>
      <c r="AB30" s="28">
        <f t="shared" si="8"/>
        <v>0</v>
      </c>
      <c r="AC30" s="28">
        <f t="shared" si="8"/>
        <v>0</v>
      </c>
      <c r="AD30" s="28">
        <f t="shared" si="9"/>
        <v>0</v>
      </c>
      <c r="AE30" s="28">
        <f t="shared" si="9"/>
        <v>0</v>
      </c>
      <c r="AF30" s="28">
        <f t="shared" si="10"/>
        <v>0</v>
      </c>
      <c r="AG30" s="26"/>
      <c r="AH30" s="27"/>
      <c r="AI30" s="27"/>
      <c r="AJ30" s="27"/>
      <c r="AK30" s="27"/>
      <c r="AL30" s="29"/>
      <c r="AM30" s="25">
        <f t="shared" si="11"/>
        <v>0</v>
      </c>
      <c r="AN30" s="26"/>
      <c r="AO30" s="30">
        <f t="shared" si="12"/>
        <v>0</v>
      </c>
    </row>
    <row r="31" spans="1:41" ht="15.75" customHeight="1" x14ac:dyDescent="0.2">
      <c r="A31" s="19"/>
      <c r="B31" s="20"/>
      <c r="C31" s="21"/>
      <c r="D31" s="22"/>
      <c r="E31" s="23">
        <f t="shared" si="0"/>
        <v>0</v>
      </c>
      <c r="F31" s="22"/>
      <c r="G31" s="22"/>
      <c r="H31" s="23">
        <f t="shared" si="1"/>
        <v>0</v>
      </c>
      <c r="I31" s="22"/>
      <c r="J31" s="22"/>
      <c r="K31" s="22"/>
      <c r="L31" s="23">
        <f t="shared" si="2"/>
        <v>0</v>
      </c>
      <c r="M31" s="22"/>
      <c r="N31" s="24">
        <f t="shared" si="3"/>
        <v>0</v>
      </c>
      <c r="O31" s="22"/>
      <c r="P31" s="22"/>
      <c r="Q31" s="23">
        <f t="shared" si="4"/>
        <v>0</v>
      </c>
      <c r="R31" s="22"/>
      <c r="S31" s="24">
        <f t="shared" si="5"/>
        <v>0</v>
      </c>
      <c r="T31" s="24">
        <f t="shared" si="13"/>
        <v>0</v>
      </c>
      <c r="U31" s="25">
        <f t="shared" si="6"/>
        <v>0</v>
      </c>
      <c r="V31" s="26"/>
      <c r="W31" s="27"/>
      <c r="X31" s="27"/>
      <c r="Y31" s="27"/>
      <c r="Z31" s="24">
        <f t="shared" si="7"/>
        <v>0</v>
      </c>
      <c r="AA31" s="27"/>
      <c r="AB31" s="28">
        <f t="shared" si="8"/>
        <v>0</v>
      </c>
      <c r="AC31" s="28">
        <f t="shared" si="8"/>
        <v>0</v>
      </c>
      <c r="AD31" s="28">
        <f t="shared" si="9"/>
        <v>0</v>
      </c>
      <c r="AE31" s="28">
        <f t="shared" si="9"/>
        <v>0</v>
      </c>
      <c r="AF31" s="28">
        <f t="shared" si="10"/>
        <v>0</v>
      </c>
      <c r="AG31" s="26"/>
      <c r="AH31" s="27"/>
      <c r="AI31" s="27"/>
      <c r="AJ31" s="27"/>
      <c r="AK31" s="27"/>
      <c r="AL31" s="29"/>
      <c r="AM31" s="25">
        <f t="shared" si="11"/>
        <v>0</v>
      </c>
      <c r="AN31" s="26"/>
      <c r="AO31" s="30">
        <f t="shared" si="12"/>
        <v>0</v>
      </c>
    </row>
    <row r="32" spans="1:41" ht="15.75" customHeight="1" x14ac:dyDescent="0.2">
      <c r="A32" s="19"/>
      <c r="B32" s="20"/>
      <c r="C32" s="21"/>
      <c r="D32" s="22"/>
      <c r="E32" s="23">
        <f t="shared" si="0"/>
        <v>0</v>
      </c>
      <c r="F32" s="22"/>
      <c r="G32" s="22"/>
      <c r="H32" s="23">
        <f t="shared" si="1"/>
        <v>0</v>
      </c>
      <c r="I32" s="22"/>
      <c r="J32" s="22"/>
      <c r="K32" s="22"/>
      <c r="L32" s="23">
        <f t="shared" si="2"/>
        <v>0</v>
      </c>
      <c r="M32" s="22"/>
      <c r="N32" s="24">
        <f t="shared" si="3"/>
        <v>0</v>
      </c>
      <c r="O32" s="22"/>
      <c r="P32" s="22"/>
      <c r="Q32" s="23">
        <f t="shared" si="4"/>
        <v>0</v>
      </c>
      <c r="R32" s="22"/>
      <c r="S32" s="24">
        <f t="shared" si="5"/>
        <v>0</v>
      </c>
      <c r="T32" s="24">
        <f t="shared" si="13"/>
        <v>0</v>
      </c>
      <c r="U32" s="25">
        <f t="shared" si="6"/>
        <v>0</v>
      </c>
      <c r="V32" s="26"/>
      <c r="W32" s="27"/>
      <c r="X32" s="27"/>
      <c r="Y32" s="27"/>
      <c r="Z32" s="24">
        <f t="shared" si="7"/>
        <v>0</v>
      </c>
      <c r="AA32" s="27"/>
      <c r="AB32" s="28">
        <f t="shared" ref="AB32:AC36" si="14">IFERROR(V32/J32, 0)</f>
        <v>0</v>
      </c>
      <c r="AC32" s="28">
        <f t="shared" si="14"/>
        <v>0</v>
      </c>
      <c r="AD32" s="28">
        <f t="shared" ref="AD32:AE36" si="15">IFERROR(Z32/O32, 0)</f>
        <v>0</v>
      </c>
      <c r="AE32" s="28">
        <f t="shared" si="15"/>
        <v>0</v>
      </c>
      <c r="AF32" s="28">
        <f t="shared" si="10"/>
        <v>0</v>
      </c>
      <c r="AG32" s="26"/>
      <c r="AH32" s="27"/>
      <c r="AI32" s="27"/>
      <c r="AJ32" s="27"/>
      <c r="AK32" s="27"/>
      <c r="AL32" s="29"/>
      <c r="AM32" s="25">
        <f t="shared" si="11"/>
        <v>0</v>
      </c>
      <c r="AN32" s="26"/>
      <c r="AO32" s="30">
        <f t="shared" si="12"/>
        <v>0</v>
      </c>
    </row>
    <row r="33" spans="1:41" ht="15.75" customHeight="1" x14ac:dyDescent="0.2">
      <c r="A33" s="19"/>
      <c r="B33" s="20"/>
      <c r="C33" s="21"/>
      <c r="D33" s="22"/>
      <c r="E33" s="23">
        <f t="shared" si="0"/>
        <v>0</v>
      </c>
      <c r="F33" s="22"/>
      <c r="G33" s="22"/>
      <c r="H33" s="23">
        <f t="shared" si="1"/>
        <v>0</v>
      </c>
      <c r="I33" s="22"/>
      <c r="J33" s="22"/>
      <c r="K33" s="22"/>
      <c r="L33" s="23">
        <f t="shared" si="2"/>
        <v>0</v>
      </c>
      <c r="M33" s="22"/>
      <c r="N33" s="24">
        <f t="shared" si="3"/>
        <v>0</v>
      </c>
      <c r="O33" s="22"/>
      <c r="P33" s="22"/>
      <c r="Q33" s="23">
        <f t="shared" si="4"/>
        <v>0</v>
      </c>
      <c r="R33" s="22"/>
      <c r="S33" s="24">
        <f t="shared" si="5"/>
        <v>0</v>
      </c>
      <c r="T33" s="24">
        <f t="shared" si="13"/>
        <v>0</v>
      </c>
      <c r="U33" s="25">
        <f t="shared" si="6"/>
        <v>0</v>
      </c>
      <c r="V33" s="26"/>
      <c r="W33" s="27"/>
      <c r="X33" s="27"/>
      <c r="Y33" s="27"/>
      <c r="Z33" s="24">
        <f t="shared" si="7"/>
        <v>0</v>
      </c>
      <c r="AA33" s="27"/>
      <c r="AB33" s="28">
        <f t="shared" si="14"/>
        <v>0</v>
      </c>
      <c r="AC33" s="28">
        <f t="shared" si="14"/>
        <v>0</v>
      </c>
      <c r="AD33" s="28">
        <f t="shared" si="15"/>
        <v>0</v>
      </c>
      <c r="AE33" s="28">
        <f t="shared" si="15"/>
        <v>0</v>
      </c>
      <c r="AF33" s="28">
        <f t="shared" si="10"/>
        <v>0</v>
      </c>
      <c r="AG33" s="26"/>
      <c r="AH33" s="27"/>
      <c r="AI33" s="27"/>
      <c r="AJ33" s="27"/>
      <c r="AK33" s="27"/>
      <c r="AL33" s="29"/>
      <c r="AM33" s="25">
        <f t="shared" si="11"/>
        <v>0</v>
      </c>
      <c r="AN33" s="26"/>
      <c r="AO33" s="30">
        <f t="shared" si="12"/>
        <v>0</v>
      </c>
    </row>
    <row r="34" spans="1:41" ht="15.75" customHeight="1" x14ac:dyDescent="0.2">
      <c r="A34" s="19"/>
      <c r="B34" s="31"/>
      <c r="C34" s="26"/>
      <c r="D34" s="27"/>
      <c r="E34" s="23">
        <f t="shared" si="0"/>
        <v>0</v>
      </c>
      <c r="F34" s="27"/>
      <c r="G34" s="27"/>
      <c r="H34" s="23">
        <f t="shared" si="1"/>
        <v>0</v>
      </c>
      <c r="I34" s="27"/>
      <c r="J34" s="22"/>
      <c r="K34" s="22"/>
      <c r="L34" s="23">
        <f t="shared" si="2"/>
        <v>0</v>
      </c>
      <c r="M34" s="22"/>
      <c r="N34" s="24">
        <f t="shared" si="3"/>
        <v>0</v>
      </c>
      <c r="O34" s="22"/>
      <c r="P34" s="22"/>
      <c r="Q34" s="23">
        <f t="shared" si="4"/>
        <v>0</v>
      </c>
      <c r="R34" s="22"/>
      <c r="S34" s="24">
        <f t="shared" si="5"/>
        <v>0</v>
      </c>
      <c r="T34" s="24">
        <f t="shared" si="13"/>
        <v>0</v>
      </c>
      <c r="U34" s="25">
        <f t="shared" si="6"/>
        <v>0</v>
      </c>
      <c r="V34" s="26"/>
      <c r="W34" s="27"/>
      <c r="X34" s="27"/>
      <c r="Y34" s="27"/>
      <c r="Z34" s="24">
        <f t="shared" si="7"/>
        <v>0</v>
      </c>
      <c r="AA34" s="27"/>
      <c r="AB34" s="28">
        <f t="shared" si="14"/>
        <v>0</v>
      </c>
      <c r="AC34" s="28">
        <f t="shared" si="14"/>
        <v>0</v>
      </c>
      <c r="AD34" s="28">
        <f t="shared" si="15"/>
        <v>0</v>
      </c>
      <c r="AE34" s="28">
        <f t="shared" si="15"/>
        <v>0</v>
      </c>
      <c r="AF34" s="28">
        <f t="shared" si="10"/>
        <v>0</v>
      </c>
      <c r="AG34" s="26"/>
      <c r="AH34" s="27"/>
      <c r="AI34" s="27"/>
      <c r="AJ34" s="27"/>
      <c r="AK34" s="27"/>
      <c r="AL34" s="29"/>
      <c r="AM34" s="25">
        <f t="shared" si="11"/>
        <v>0</v>
      </c>
      <c r="AN34" s="26"/>
      <c r="AO34" s="30">
        <f t="shared" si="12"/>
        <v>0</v>
      </c>
    </row>
    <row r="35" spans="1:41" ht="15.75" customHeight="1" thickBot="1" x14ac:dyDescent="0.25">
      <c r="A35" s="32"/>
      <c r="B35" s="33"/>
      <c r="C35" s="34"/>
      <c r="D35" s="35"/>
      <c r="E35" s="36">
        <f>SUM(C35:D35)</f>
        <v>0</v>
      </c>
      <c r="F35" s="35"/>
      <c r="G35" s="35"/>
      <c r="H35" s="36">
        <f t="shared" si="1"/>
        <v>0</v>
      </c>
      <c r="I35" s="35"/>
      <c r="J35" s="35"/>
      <c r="K35" s="35"/>
      <c r="L35" s="36">
        <f t="shared" si="2"/>
        <v>0</v>
      </c>
      <c r="M35" s="35"/>
      <c r="N35" s="37">
        <f t="shared" si="3"/>
        <v>0</v>
      </c>
      <c r="O35" s="35"/>
      <c r="P35" s="35"/>
      <c r="Q35" s="36">
        <f t="shared" si="4"/>
        <v>0</v>
      </c>
      <c r="R35" s="35"/>
      <c r="S35" s="37">
        <f t="shared" si="5"/>
        <v>0</v>
      </c>
      <c r="T35" s="37">
        <f t="shared" si="13"/>
        <v>0</v>
      </c>
      <c r="U35" s="38">
        <f t="shared" si="6"/>
        <v>0</v>
      </c>
      <c r="V35" s="39"/>
      <c r="W35" s="40"/>
      <c r="X35" s="40"/>
      <c r="Y35" s="40"/>
      <c r="Z35" s="37">
        <f t="shared" si="7"/>
        <v>0</v>
      </c>
      <c r="AA35" s="40"/>
      <c r="AB35" s="41">
        <f t="shared" si="14"/>
        <v>0</v>
      </c>
      <c r="AC35" s="41">
        <f t="shared" si="14"/>
        <v>0</v>
      </c>
      <c r="AD35" s="41">
        <f t="shared" si="15"/>
        <v>0</v>
      </c>
      <c r="AE35" s="41">
        <f t="shared" si="15"/>
        <v>0</v>
      </c>
      <c r="AF35" s="41">
        <f t="shared" si="10"/>
        <v>0</v>
      </c>
      <c r="AG35" s="39"/>
      <c r="AH35" s="40"/>
      <c r="AI35" s="40"/>
      <c r="AJ35" s="40"/>
      <c r="AK35" s="40"/>
      <c r="AL35" s="42"/>
      <c r="AM35" s="38">
        <f t="shared" si="11"/>
        <v>0</v>
      </c>
      <c r="AN35" s="39"/>
      <c r="AO35" s="43">
        <f t="shared" si="12"/>
        <v>0</v>
      </c>
    </row>
    <row r="36" spans="1:41" ht="15.75" customHeight="1" thickTop="1" thickBot="1" x14ac:dyDescent="0.25">
      <c r="A36" s="44" t="s">
        <v>54</v>
      </c>
      <c r="B36" s="45">
        <f t="shared" ref="B36:AA36" si="16">SUM(B16:B35)</f>
        <v>0</v>
      </c>
      <c r="C36" s="46">
        <f t="shared" si="16"/>
        <v>0</v>
      </c>
      <c r="D36" s="47">
        <f t="shared" si="16"/>
        <v>0</v>
      </c>
      <c r="E36" s="47">
        <f t="shared" si="16"/>
        <v>0</v>
      </c>
      <c r="F36" s="47">
        <f t="shared" si="16"/>
        <v>0</v>
      </c>
      <c r="G36" s="47">
        <f t="shared" si="16"/>
        <v>0</v>
      </c>
      <c r="H36" s="47">
        <f t="shared" si="16"/>
        <v>0</v>
      </c>
      <c r="I36" s="47">
        <f t="shared" si="16"/>
        <v>0</v>
      </c>
      <c r="J36" s="47">
        <f t="shared" si="16"/>
        <v>0</v>
      </c>
      <c r="K36" s="47">
        <f t="shared" si="16"/>
        <v>0</v>
      </c>
      <c r="L36" s="47">
        <f t="shared" si="16"/>
        <v>0</v>
      </c>
      <c r="M36" s="47">
        <f t="shared" si="16"/>
        <v>0</v>
      </c>
      <c r="N36" s="47">
        <f t="shared" si="16"/>
        <v>0</v>
      </c>
      <c r="O36" s="47">
        <f t="shared" si="16"/>
        <v>0</v>
      </c>
      <c r="P36" s="47">
        <f t="shared" si="16"/>
        <v>0</v>
      </c>
      <c r="Q36" s="47">
        <f t="shared" si="16"/>
        <v>0</v>
      </c>
      <c r="R36" s="47">
        <f t="shared" si="16"/>
        <v>0</v>
      </c>
      <c r="S36" s="47">
        <f t="shared" si="16"/>
        <v>0</v>
      </c>
      <c r="T36" s="47">
        <f t="shared" si="16"/>
        <v>0</v>
      </c>
      <c r="U36" s="48">
        <f t="shared" si="16"/>
        <v>0</v>
      </c>
      <c r="V36" s="46">
        <f t="shared" si="16"/>
        <v>0</v>
      </c>
      <c r="W36" s="47">
        <f t="shared" si="16"/>
        <v>0</v>
      </c>
      <c r="X36" s="47">
        <f t="shared" si="16"/>
        <v>0</v>
      </c>
      <c r="Y36" s="47">
        <f t="shared" si="16"/>
        <v>0</v>
      </c>
      <c r="Z36" s="47">
        <f t="shared" si="16"/>
        <v>0</v>
      </c>
      <c r="AA36" s="47">
        <f t="shared" si="16"/>
        <v>0</v>
      </c>
      <c r="AB36" s="49">
        <f t="shared" si="14"/>
        <v>0</v>
      </c>
      <c r="AC36" s="49">
        <f t="shared" si="14"/>
        <v>0</v>
      </c>
      <c r="AD36" s="49">
        <f t="shared" si="15"/>
        <v>0</v>
      </c>
      <c r="AE36" s="49">
        <f t="shared" si="15"/>
        <v>0</v>
      </c>
      <c r="AF36" s="49">
        <f t="shared" si="10"/>
        <v>0</v>
      </c>
      <c r="AG36" s="46">
        <f t="shared" ref="AG36:AN36" si="17">SUM(AG16:AG35)</f>
        <v>0</v>
      </c>
      <c r="AH36" s="47">
        <f t="shared" si="17"/>
        <v>0</v>
      </c>
      <c r="AI36" s="47">
        <f t="shared" si="17"/>
        <v>0</v>
      </c>
      <c r="AJ36" s="47">
        <f t="shared" si="17"/>
        <v>0</v>
      </c>
      <c r="AK36" s="47">
        <f t="shared" si="17"/>
        <v>0</v>
      </c>
      <c r="AL36" s="47">
        <f t="shared" si="17"/>
        <v>0</v>
      </c>
      <c r="AM36" s="48">
        <f t="shared" si="17"/>
        <v>0</v>
      </c>
      <c r="AN36" s="46">
        <f t="shared" si="17"/>
        <v>0</v>
      </c>
      <c r="AO36" s="50">
        <f t="shared" si="12"/>
        <v>0</v>
      </c>
    </row>
    <row r="37" spans="1:41" ht="15.75" customHeight="1" thickTop="1" x14ac:dyDescent="0.2">
      <c r="A37" s="51"/>
      <c r="B37" s="4"/>
      <c r="C37" s="52"/>
      <c r="D37" s="52"/>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row>
    <row r="38" spans="1:41" ht="15.75" customHeight="1" x14ac:dyDescent="0.2">
      <c r="A38" s="103" t="s">
        <v>55</v>
      </c>
      <c r="B38" s="4">
        <v>1</v>
      </c>
      <c r="C38" s="53" t="str">
        <f ca="1">IFERROR(__xludf.DUMMYFUNCTION("IF(
  COUNTUNIQUE($E$36,$H$36,$U$36,$AM$36)=1,
  ""✅ Totals of sex, age, animal bite cases, and biting animals match"",
  ""❌ Totals of sex, age, animal bite cases, and biting animals DO NOT match. Please recheck the data.""
)
"),"✅ Totals of sex, age, animal bite cases, and biting animals match")</f>
        <v>✅ Totals of sex, age, animal bite cases, and biting animals match</v>
      </c>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row>
    <row r="39" spans="1:41" ht="15.75" customHeight="1" x14ac:dyDescent="0.2">
      <c r="A39" s="88"/>
      <c r="B39" s="4">
        <v>2</v>
      </c>
      <c r="C39" s="53" t="str">
        <f>IF(
  SUMPRODUCT(--(AB16:AF36&gt;1))=0,
  "✅ PEP Coverage ≤100%",
  "❌ PEP Coverage cannot exceed 100%. "&amp;SUMPRODUCT(--(AB16:AF36&gt;1))&amp;" cell(s) exceed 100%. Please recheck the data."
)</f>
        <v>✅ PEP Coverage ≤100%</v>
      </c>
      <c r="D39" s="52"/>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row>
    <row r="40" spans="1:41" ht="15.75" customHeight="1" x14ac:dyDescent="0.2">
      <c r="A40" s="104" t="s">
        <v>56</v>
      </c>
      <c r="B40" s="88"/>
      <c r="C40" s="88"/>
      <c r="D40" s="88"/>
      <c r="E40" s="88"/>
      <c r="F40" s="88"/>
      <c r="G40" s="88"/>
      <c r="H40" s="88"/>
      <c r="I40" s="88"/>
      <c r="J40" s="88"/>
      <c r="K40" s="88"/>
      <c r="L40" s="88"/>
      <c r="M40" s="88"/>
      <c r="N40" s="88"/>
      <c r="O40" s="88"/>
      <c r="P40" s="88"/>
      <c r="Q40" s="88"/>
      <c r="R40" s="88"/>
      <c r="S40" s="88"/>
      <c r="T40" s="88"/>
      <c r="U40" s="88"/>
      <c r="V40" s="87" t="s">
        <v>57</v>
      </c>
      <c r="W40" s="88"/>
      <c r="X40" s="88"/>
      <c r="Y40" s="88"/>
      <c r="Z40" s="88"/>
      <c r="AA40" s="88"/>
      <c r="AB40" s="87" t="s">
        <v>58</v>
      </c>
      <c r="AC40" s="88"/>
      <c r="AD40" s="88"/>
      <c r="AE40" s="88"/>
      <c r="AF40" s="88"/>
      <c r="AG40" s="88"/>
      <c r="AH40" s="87" t="s">
        <v>59</v>
      </c>
      <c r="AI40" s="88"/>
      <c r="AJ40" s="88"/>
      <c r="AK40" s="88"/>
      <c r="AL40" s="88"/>
      <c r="AM40" s="88"/>
      <c r="AN40" s="88"/>
      <c r="AO40" s="88"/>
    </row>
    <row r="41" spans="1:41" ht="15.75" customHeight="1" x14ac:dyDescent="0.2"/>
    <row r="42" spans="1:41" ht="15.75" customHeight="1" x14ac:dyDescent="0.2"/>
    <row r="43" spans="1:41" ht="15.75" customHeight="1" x14ac:dyDescent="0.2"/>
    <row r="44" spans="1:41" ht="15.75" customHeight="1" x14ac:dyDescent="0.2"/>
    <row r="45" spans="1:41" ht="15.75" customHeight="1" x14ac:dyDescent="0.2"/>
    <row r="46" spans="1:41" ht="15.75" customHeight="1" x14ac:dyDescent="0.2"/>
    <row r="47" spans="1:41" ht="15.75" customHeight="1" x14ac:dyDescent="0.2"/>
    <row r="48" spans="1:41"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61">
    <mergeCell ref="H13:H15"/>
    <mergeCell ref="I13:I15"/>
    <mergeCell ref="V11:AF11"/>
    <mergeCell ref="A1:A5"/>
    <mergeCell ref="A7:A9"/>
    <mergeCell ref="C7:F7"/>
    <mergeCell ref="J7:K7"/>
    <mergeCell ref="A11:A15"/>
    <mergeCell ref="B11:B15"/>
    <mergeCell ref="C11:U11"/>
    <mergeCell ref="J13:N13"/>
    <mergeCell ref="O13:S13"/>
    <mergeCell ref="T13:T15"/>
    <mergeCell ref="C12:E12"/>
    <mergeCell ref="F12:H12"/>
    <mergeCell ref="I12:U12"/>
    <mergeCell ref="AG11:AM11"/>
    <mergeCell ref="AN11:AO11"/>
    <mergeCell ref="AG12:AI12"/>
    <mergeCell ref="AJ12:AL12"/>
    <mergeCell ref="C13:C15"/>
    <mergeCell ref="D13:D15"/>
    <mergeCell ref="E13:E15"/>
    <mergeCell ref="F13:F15"/>
    <mergeCell ref="G13:G15"/>
    <mergeCell ref="V14:V15"/>
    <mergeCell ref="W14:W15"/>
    <mergeCell ref="X14:Z14"/>
    <mergeCell ref="AA14:AA15"/>
    <mergeCell ref="AM12:AM15"/>
    <mergeCell ref="V12:AA12"/>
    <mergeCell ref="AB12:AF12"/>
    <mergeCell ref="A38:A39"/>
    <mergeCell ref="A40:U40"/>
    <mergeCell ref="V40:AA40"/>
    <mergeCell ref="AB40:AG40"/>
    <mergeCell ref="J14:L14"/>
    <mergeCell ref="M14:M15"/>
    <mergeCell ref="N14:N15"/>
    <mergeCell ref="O14:Q14"/>
    <mergeCell ref="R14:R15"/>
    <mergeCell ref="S14:S15"/>
    <mergeCell ref="AG13:AG15"/>
    <mergeCell ref="U13:U15"/>
    <mergeCell ref="V13:W13"/>
    <mergeCell ref="X13:AA13"/>
    <mergeCell ref="AB13:AC13"/>
    <mergeCell ref="AD13:AE13"/>
    <mergeCell ref="AH40:AO40"/>
    <mergeCell ref="AB14:AB15"/>
    <mergeCell ref="AC14:AC15"/>
    <mergeCell ref="AD14:AD15"/>
    <mergeCell ref="AE14:AE15"/>
    <mergeCell ref="AH13:AH15"/>
    <mergeCell ref="AI13:AI15"/>
    <mergeCell ref="AJ13:AJ15"/>
    <mergeCell ref="AK13:AK15"/>
    <mergeCell ref="AL13:AL15"/>
    <mergeCell ref="AF13:AF15"/>
    <mergeCell ref="AN12:AN15"/>
    <mergeCell ref="AO12:AO15"/>
  </mergeCells>
  <conditionalFormatting sqref="B38">
    <cfRule type="expression" dxfId="43" priority="1">
      <formula>COUNTUNIQUE($E$36,$H$36,$U$36,$AM$36)=1</formula>
    </cfRule>
    <cfRule type="expression" dxfId="42" priority="6">
      <formula>COUNTUNIQUE($E$36,$H$36,$U$36,$AM$36)&gt;1</formula>
    </cfRule>
  </conditionalFormatting>
  <conditionalFormatting sqref="B39">
    <cfRule type="expression" dxfId="41" priority="4">
      <formula>SUMPRODUCT(--(AB16:AF36&gt;1))=0</formula>
    </cfRule>
    <cfRule type="expression" dxfId="40" priority="5">
      <formula>SUMPRODUCT(--(AB16:AF36&gt;1))&gt;0</formula>
    </cfRule>
  </conditionalFormatting>
  <conditionalFormatting sqref="AB16:AF36">
    <cfRule type="expression" dxfId="39" priority="2">
      <formula>AND(AB16&lt;&gt;"", AB16&gt;1)</formula>
    </cfRule>
    <cfRule type="expression" dxfId="38" priority="3">
      <formula>AND(AB16&lt;&gt;"", AB16&gt;=0, AB16&lt;=1)</formula>
    </cfRule>
  </conditionalFormatting>
  <hyperlinks>
    <hyperlink ref="A40" r:id="rId1" xr:uid="{EFB05775-65BD-4DBB-A85D-977A2DE3C399}"/>
  </hyperlinks>
  <pageMargins left="0.75" right="0.75" top="1" bottom="1" header="0" footer="0"/>
  <pageSetup paperSize="14" orientation="landscape"/>
  <colBreaks count="2" manualBreakCount="2">
    <brk id="21" man="1"/>
    <brk id="41"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3B1C1-3A46-4ED3-B82D-B2A55CA67B3E}">
  <sheetPr>
    <outlinePr summaryBelow="0" summaryRight="0"/>
  </sheetPr>
  <dimension ref="A1:AO1000"/>
  <sheetViews>
    <sheetView tabSelected="1" zoomScale="115" zoomScaleNormal="115" workbookViewId="0">
      <pane ySplit="15" topLeftCell="A16" activePane="bottomLeft" state="frozen"/>
      <selection pane="bottomLeft" activeCell="D19" sqref="D19"/>
    </sheetView>
  </sheetViews>
  <sheetFormatPr defaultColWidth="12.5703125" defaultRowHeight="15" customHeight="1" x14ac:dyDescent="0.2"/>
  <cols>
    <col min="1" max="1" width="21.5703125" customWidth="1"/>
    <col min="2" max="2" width="12.28515625" customWidth="1"/>
    <col min="3" max="41" width="10.7109375" customWidth="1"/>
  </cols>
  <sheetData>
    <row r="1" spans="1:41" ht="15.75" customHeight="1" x14ac:dyDescent="0.2">
      <c r="A1" s="115"/>
      <c r="B1" s="1"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15.75" customHeight="1" x14ac:dyDescent="0.2">
      <c r="A2" s="88"/>
      <c r="B2" s="1"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row>
    <row r="3" spans="1:41" ht="15.75" customHeight="1" x14ac:dyDescent="0.2">
      <c r="A3" s="88"/>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row>
    <row r="4" spans="1:41" ht="15.75" customHeight="1" x14ac:dyDescent="0.2">
      <c r="A4" s="88"/>
      <c r="B4" s="3" t="s">
        <v>2</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row>
    <row r="5" spans="1:41" ht="15.75" customHeight="1" x14ac:dyDescent="0.2">
      <c r="A5" s="88"/>
      <c r="B5" s="3" t="s">
        <v>3</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row>
    <row r="6" spans="1:41" ht="15.75" customHeight="1" x14ac:dyDescent="0.2">
      <c r="A6" s="4"/>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row>
    <row r="7" spans="1:41" ht="15.75" customHeight="1" thickBot="1" x14ac:dyDescent="0.25">
      <c r="A7" s="116"/>
      <c r="B7" s="3" t="s">
        <v>102</v>
      </c>
      <c r="C7" s="117" t="s">
        <v>103</v>
      </c>
      <c r="D7" s="118"/>
      <c r="E7" s="118"/>
      <c r="F7" s="118"/>
      <c r="H7" s="3" t="s">
        <v>4</v>
      </c>
      <c r="I7" s="3"/>
      <c r="J7" s="117" t="s">
        <v>5</v>
      </c>
      <c r="K7" s="118"/>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row>
    <row r="8" spans="1:41" ht="11.25" customHeight="1" x14ac:dyDescent="0.2">
      <c r="A8" s="88"/>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row>
    <row r="9" spans="1:41" ht="22.5" customHeight="1" x14ac:dyDescent="0.2">
      <c r="A9" s="88"/>
      <c r="B9" s="55" t="s">
        <v>61</v>
      </c>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row>
    <row r="10" spans="1:41" ht="15.75" customHeight="1" thickBot="1" x14ac:dyDescent="0.25">
      <c r="A10" s="4"/>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row>
    <row r="11" spans="1:41" ht="15.75" customHeight="1" thickTop="1" x14ac:dyDescent="0.2">
      <c r="A11" s="119" t="s">
        <v>100</v>
      </c>
      <c r="B11" s="119" t="s">
        <v>8</v>
      </c>
      <c r="C11" s="110" t="s">
        <v>9</v>
      </c>
      <c r="D11" s="111"/>
      <c r="E11" s="111"/>
      <c r="F11" s="111"/>
      <c r="G11" s="111"/>
      <c r="H11" s="111"/>
      <c r="I11" s="111"/>
      <c r="J11" s="111"/>
      <c r="K11" s="111"/>
      <c r="L11" s="111"/>
      <c r="M11" s="111"/>
      <c r="N11" s="111"/>
      <c r="O11" s="111"/>
      <c r="P11" s="111"/>
      <c r="Q11" s="111"/>
      <c r="R11" s="111"/>
      <c r="S11" s="111"/>
      <c r="T11" s="111"/>
      <c r="U11" s="112"/>
      <c r="V11" s="110" t="s">
        <v>10</v>
      </c>
      <c r="W11" s="111"/>
      <c r="X11" s="111"/>
      <c r="Y11" s="111"/>
      <c r="Z11" s="111"/>
      <c r="AA11" s="111"/>
      <c r="AB11" s="111"/>
      <c r="AC11" s="111"/>
      <c r="AD11" s="111"/>
      <c r="AE11" s="111"/>
      <c r="AF11" s="112"/>
      <c r="AG11" s="110" t="s">
        <v>11</v>
      </c>
      <c r="AH11" s="111"/>
      <c r="AI11" s="111"/>
      <c r="AJ11" s="111"/>
      <c r="AK11" s="111"/>
      <c r="AL11" s="111"/>
      <c r="AM11" s="112"/>
      <c r="AN11" s="110" t="s">
        <v>12</v>
      </c>
      <c r="AO11" s="113"/>
    </row>
    <row r="12" spans="1:41" ht="15.75" customHeight="1" x14ac:dyDescent="0.2">
      <c r="A12" s="120"/>
      <c r="B12" s="120"/>
      <c r="C12" s="108" t="s">
        <v>13</v>
      </c>
      <c r="D12" s="106"/>
      <c r="E12" s="107"/>
      <c r="F12" s="105" t="s">
        <v>14</v>
      </c>
      <c r="G12" s="106"/>
      <c r="H12" s="107"/>
      <c r="I12" s="105" t="s">
        <v>15</v>
      </c>
      <c r="J12" s="106"/>
      <c r="K12" s="106"/>
      <c r="L12" s="106"/>
      <c r="M12" s="106"/>
      <c r="N12" s="106"/>
      <c r="O12" s="106"/>
      <c r="P12" s="106"/>
      <c r="Q12" s="106"/>
      <c r="R12" s="106"/>
      <c r="S12" s="106"/>
      <c r="T12" s="106"/>
      <c r="U12" s="107"/>
      <c r="V12" s="108" t="s">
        <v>16</v>
      </c>
      <c r="W12" s="106"/>
      <c r="X12" s="106"/>
      <c r="Y12" s="106"/>
      <c r="Z12" s="106"/>
      <c r="AA12" s="107"/>
      <c r="AB12" s="114" t="s">
        <v>17</v>
      </c>
      <c r="AC12" s="106"/>
      <c r="AD12" s="106"/>
      <c r="AE12" s="106"/>
      <c r="AF12" s="107"/>
      <c r="AG12" s="108" t="s">
        <v>18</v>
      </c>
      <c r="AH12" s="106"/>
      <c r="AI12" s="107"/>
      <c r="AJ12" s="105" t="s">
        <v>19</v>
      </c>
      <c r="AK12" s="106"/>
      <c r="AL12" s="107"/>
      <c r="AM12" s="94" t="s">
        <v>20</v>
      </c>
      <c r="AN12" s="97" t="s">
        <v>21</v>
      </c>
      <c r="AO12" s="100" t="s">
        <v>22</v>
      </c>
    </row>
    <row r="13" spans="1:41" ht="15.75" customHeight="1" x14ac:dyDescent="0.2">
      <c r="A13" s="120"/>
      <c r="B13" s="120"/>
      <c r="C13" s="97" t="s">
        <v>23</v>
      </c>
      <c r="D13" s="92" t="s">
        <v>24</v>
      </c>
      <c r="E13" s="92" t="s">
        <v>20</v>
      </c>
      <c r="F13" s="92" t="s">
        <v>25</v>
      </c>
      <c r="G13" s="92" t="s">
        <v>26</v>
      </c>
      <c r="H13" s="92" t="s">
        <v>20</v>
      </c>
      <c r="I13" s="92" t="s">
        <v>27</v>
      </c>
      <c r="J13" s="105" t="s">
        <v>28</v>
      </c>
      <c r="K13" s="106"/>
      <c r="L13" s="106"/>
      <c r="M13" s="106"/>
      <c r="N13" s="107"/>
      <c r="O13" s="105" t="s">
        <v>29</v>
      </c>
      <c r="P13" s="106"/>
      <c r="Q13" s="106"/>
      <c r="R13" s="106"/>
      <c r="S13" s="107"/>
      <c r="T13" s="92" t="s">
        <v>30</v>
      </c>
      <c r="U13" s="94" t="s">
        <v>31</v>
      </c>
      <c r="V13" s="108" t="s">
        <v>28</v>
      </c>
      <c r="W13" s="107"/>
      <c r="X13" s="105" t="s">
        <v>29</v>
      </c>
      <c r="Y13" s="106"/>
      <c r="Z13" s="106"/>
      <c r="AA13" s="107"/>
      <c r="AB13" s="109" t="s">
        <v>32</v>
      </c>
      <c r="AC13" s="107"/>
      <c r="AD13" s="109" t="s">
        <v>33</v>
      </c>
      <c r="AE13" s="107"/>
      <c r="AF13" s="89" t="s">
        <v>34</v>
      </c>
      <c r="AG13" s="97" t="s">
        <v>35</v>
      </c>
      <c r="AH13" s="92" t="s">
        <v>36</v>
      </c>
      <c r="AI13" s="92" t="s">
        <v>37</v>
      </c>
      <c r="AJ13" s="92" t="s">
        <v>38</v>
      </c>
      <c r="AK13" s="92" t="s">
        <v>39</v>
      </c>
      <c r="AL13" s="94" t="s">
        <v>40</v>
      </c>
      <c r="AM13" s="95"/>
      <c r="AN13" s="98"/>
      <c r="AO13" s="101"/>
    </row>
    <row r="14" spans="1:41" ht="23.25" customHeight="1" x14ac:dyDescent="0.2">
      <c r="A14" s="120"/>
      <c r="B14" s="120"/>
      <c r="C14" s="98"/>
      <c r="D14" s="93"/>
      <c r="E14" s="93"/>
      <c r="F14" s="93"/>
      <c r="G14" s="93"/>
      <c r="H14" s="93"/>
      <c r="I14" s="93"/>
      <c r="J14" s="105" t="s">
        <v>41</v>
      </c>
      <c r="K14" s="106"/>
      <c r="L14" s="107"/>
      <c r="M14" s="92" t="s">
        <v>42</v>
      </c>
      <c r="N14" s="92" t="s">
        <v>43</v>
      </c>
      <c r="O14" s="105" t="s">
        <v>41</v>
      </c>
      <c r="P14" s="106"/>
      <c r="Q14" s="107"/>
      <c r="R14" s="92" t="s">
        <v>42</v>
      </c>
      <c r="S14" s="92" t="s">
        <v>44</v>
      </c>
      <c r="T14" s="93"/>
      <c r="U14" s="95"/>
      <c r="V14" s="97" t="s">
        <v>45</v>
      </c>
      <c r="W14" s="92" t="s">
        <v>46</v>
      </c>
      <c r="X14" s="105" t="s">
        <v>47</v>
      </c>
      <c r="Y14" s="106"/>
      <c r="Z14" s="107"/>
      <c r="AA14" s="92" t="s">
        <v>48</v>
      </c>
      <c r="AB14" s="89" t="s">
        <v>45</v>
      </c>
      <c r="AC14" s="89" t="s">
        <v>46</v>
      </c>
      <c r="AD14" s="91" t="s">
        <v>49</v>
      </c>
      <c r="AE14" s="91" t="s">
        <v>50</v>
      </c>
      <c r="AF14" s="93"/>
      <c r="AG14" s="98"/>
      <c r="AH14" s="93"/>
      <c r="AI14" s="93"/>
      <c r="AJ14" s="93"/>
      <c r="AK14" s="93"/>
      <c r="AL14" s="95"/>
      <c r="AM14" s="95"/>
      <c r="AN14" s="98"/>
      <c r="AO14" s="101"/>
    </row>
    <row r="15" spans="1:41" ht="33.75" customHeight="1" thickBot="1" x14ac:dyDescent="0.25">
      <c r="A15" s="121"/>
      <c r="B15" s="121"/>
      <c r="C15" s="99"/>
      <c r="D15" s="90"/>
      <c r="E15" s="90"/>
      <c r="F15" s="90"/>
      <c r="G15" s="90"/>
      <c r="H15" s="90"/>
      <c r="I15" s="90"/>
      <c r="J15" s="6" t="s">
        <v>45</v>
      </c>
      <c r="K15" s="6" t="s">
        <v>46</v>
      </c>
      <c r="L15" s="6" t="s">
        <v>51</v>
      </c>
      <c r="M15" s="90"/>
      <c r="N15" s="90"/>
      <c r="O15" s="6" t="s">
        <v>47</v>
      </c>
      <c r="P15" s="6" t="s">
        <v>48</v>
      </c>
      <c r="Q15" s="6" t="s">
        <v>20</v>
      </c>
      <c r="R15" s="90"/>
      <c r="S15" s="90"/>
      <c r="T15" s="90"/>
      <c r="U15" s="96"/>
      <c r="V15" s="99"/>
      <c r="W15" s="90"/>
      <c r="X15" s="6" t="s">
        <v>52</v>
      </c>
      <c r="Y15" s="6" t="s">
        <v>53</v>
      </c>
      <c r="Z15" s="6" t="s">
        <v>20</v>
      </c>
      <c r="AA15" s="90"/>
      <c r="AB15" s="90"/>
      <c r="AC15" s="90"/>
      <c r="AD15" s="90"/>
      <c r="AE15" s="90"/>
      <c r="AF15" s="90"/>
      <c r="AG15" s="99"/>
      <c r="AH15" s="90"/>
      <c r="AI15" s="90"/>
      <c r="AJ15" s="90"/>
      <c r="AK15" s="90"/>
      <c r="AL15" s="96"/>
      <c r="AM15" s="96"/>
      <c r="AN15" s="99"/>
      <c r="AO15" s="102"/>
    </row>
    <row r="16" spans="1:41" ht="23.25" customHeight="1" thickTop="1" x14ac:dyDescent="0.2">
      <c r="A16" s="7"/>
      <c r="B16" s="8"/>
      <c r="C16" s="9"/>
      <c r="D16" s="10"/>
      <c r="E16" s="11"/>
      <c r="F16" s="10"/>
      <c r="G16" s="10"/>
      <c r="H16" s="11"/>
      <c r="I16" s="10"/>
      <c r="J16" s="10"/>
      <c r="K16" s="10"/>
      <c r="L16" s="11"/>
      <c r="M16" s="10"/>
      <c r="N16" s="12"/>
      <c r="O16" s="10"/>
      <c r="P16" s="10"/>
      <c r="Q16" s="11"/>
      <c r="R16" s="10"/>
      <c r="S16" s="12"/>
      <c r="T16" s="12"/>
      <c r="U16" s="13"/>
      <c r="V16" s="14"/>
      <c r="W16" s="15"/>
      <c r="X16" s="15"/>
      <c r="Y16" s="15"/>
      <c r="Z16" s="12"/>
      <c r="AA16" s="15"/>
      <c r="AB16" s="16"/>
      <c r="AC16" s="16"/>
      <c r="AD16" s="16"/>
      <c r="AE16" s="16"/>
      <c r="AF16" s="16"/>
      <c r="AG16" s="14"/>
      <c r="AH16" s="15"/>
      <c r="AI16" s="15"/>
      <c r="AJ16" s="15"/>
      <c r="AK16" s="15"/>
      <c r="AL16" s="17"/>
      <c r="AM16" s="13"/>
      <c r="AN16" s="14"/>
      <c r="AO16" s="18"/>
    </row>
    <row r="17" spans="1:41" ht="22.5" customHeight="1" x14ac:dyDescent="0.2">
      <c r="A17" s="19"/>
      <c r="B17" s="20"/>
      <c r="C17" s="21"/>
      <c r="D17" s="22"/>
      <c r="E17" s="23"/>
      <c r="F17" s="22"/>
      <c r="G17" s="22"/>
      <c r="H17" s="23"/>
      <c r="I17" s="22"/>
      <c r="J17" s="22"/>
      <c r="K17" s="22"/>
      <c r="L17" s="23"/>
      <c r="M17" s="22"/>
      <c r="N17" s="24"/>
      <c r="O17" s="22"/>
      <c r="P17" s="22"/>
      <c r="Q17" s="23"/>
      <c r="R17" s="22"/>
      <c r="S17" s="24"/>
      <c r="T17" s="24"/>
      <c r="U17" s="25"/>
      <c r="V17" s="26"/>
      <c r="W17" s="27"/>
      <c r="X17" s="27"/>
      <c r="Y17" s="27"/>
      <c r="Z17" s="24"/>
      <c r="AA17" s="27"/>
      <c r="AB17" s="28"/>
      <c r="AC17" s="28"/>
      <c r="AD17" s="28"/>
      <c r="AE17" s="28"/>
      <c r="AF17" s="28"/>
      <c r="AG17" s="26"/>
      <c r="AH17" s="27"/>
      <c r="AI17" s="27"/>
      <c r="AJ17" s="27"/>
      <c r="AK17" s="27"/>
      <c r="AL17" s="29"/>
      <c r="AM17" s="25"/>
      <c r="AN17" s="26"/>
      <c r="AO17" s="30"/>
    </row>
    <row r="18" spans="1:41" ht="17.25" customHeight="1" x14ac:dyDescent="0.2">
      <c r="A18" s="19"/>
      <c r="B18" s="20"/>
      <c r="C18" s="21"/>
      <c r="D18" s="22"/>
      <c r="E18" s="23"/>
      <c r="F18" s="22"/>
      <c r="G18" s="22"/>
      <c r="H18" s="23"/>
      <c r="I18" s="22"/>
      <c r="J18" s="22"/>
      <c r="K18" s="22"/>
      <c r="L18" s="23"/>
      <c r="M18" s="22"/>
      <c r="N18" s="24"/>
      <c r="O18" s="22"/>
      <c r="P18" s="22"/>
      <c r="Q18" s="23"/>
      <c r="R18" s="22"/>
      <c r="S18" s="24"/>
      <c r="T18" s="24"/>
      <c r="U18" s="25"/>
      <c r="V18" s="26"/>
      <c r="W18" s="27"/>
      <c r="X18" s="27"/>
      <c r="Y18" s="27"/>
      <c r="Z18" s="24"/>
      <c r="AA18" s="27"/>
      <c r="AB18" s="28"/>
      <c r="AC18" s="28"/>
      <c r="AD18" s="28"/>
      <c r="AE18" s="28"/>
      <c r="AF18" s="28"/>
      <c r="AG18" s="26"/>
      <c r="AH18" s="27"/>
      <c r="AI18" s="27"/>
      <c r="AJ18" s="27"/>
      <c r="AK18" s="27"/>
      <c r="AL18" s="29"/>
      <c r="AM18" s="25"/>
      <c r="AN18" s="26"/>
      <c r="AO18" s="30"/>
    </row>
    <row r="19" spans="1:41" ht="15.75" customHeight="1" x14ac:dyDescent="0.2">
      <c r="A19" s="19"/>
      <c r="B19" s="20"/>
      <c r="C19" s="21"/>
      <c r="D19" s="22"/>
      <c r="E19" s="23"/>
      <c r="F19" s="22"/>
      <c r="G19" s="22"/>
      <c r="H19" s="23"/>
      <c r="I19" s="22"/>
      <c r="J19" s="22"/>
      <c r="K19" s="22"/>
      <c r="L19" s="23"/>
      <c r="M19" s="22"/>
      <c r="N19" s="24"/>
      <c r="O19" s="22"/>
      <c r="P19" s="22"/>
      <c r="Q19" s="23"/>
      <c r="R19" s="22"/>
      <c r="S19" s="24"/>
      <c r="T19" s="24"/>
      <c r="U19" s="25"/>
      <c r="V19" s="26"/>
      <c r="W19" s="27"/>
      <c r="X19" s="27"/>
      <c r="Y19" s="27"/>
      <c r="Z19" s="24"/>
      <c r="AA19" s="27"/>
      <c r="AB19" s="28"/>
      <c r="AC19" s="28"/>
      <c r="AD19" s="28"/>
      <c r="AE19" s="28"/>
      <c r="AF19" s="28"/>
      <c r="AG19" s="26"/>
      <c r="AH19" s="27"/>
      <c r="AI19" s="27"/>
      <c r="AJ19" s="27"/>
      <c r="AK19" s="27"/>
      <c r="AL19" s="29"/>
      <c r="AM19" s="25"/>
      <c r="AN19" s="26"/>
      <c r="AO19" s="30"/>
    </row>
    <row r="20" spans="1:41" ht="24.75" customHeight="1" x14ac:dyDescent="0.2">
      <c r="A20" s="19"/>
      <c r="B20" s="20"/>
      <c r="C20" s="21"/>
      <c r="D20" s="22"/>
      <c r="E20" s="23"/>
      <c r="F20" s="22"/>
      <c r="G20" s="22"/>
      <c r="H20" s="23"/>
      <c r="I20" s="22"/>
      <c r="J20" s="22"/>
      <c r="K20" s="22"/>
      <c r="L20" s="23"/>
      <c r="M20" s="22"/>
      <c r="N20" s="24"/>
      <c r="O20" s="22"/>
      <c r="P20" s="22"/>
      <c r="Q20" s="23"/>
      <c r="R20" s="22"/>
      <c r="S20" s="24"/>
      <c r="T20" s="24"/>
      <c r="U20" s="25"/>
      <c r="V20" s="26"/>
      <c r="W20" s="27"/>
      <c r="X20" s="27"/>
      <c r="Y20" s="27"/>
      <c r="Z20" s="24"/>
      <c r="AA20" s="27"/>
      <c r="AB20" s="28"/>
      <c r="AC20" s="28"/>
      <c r="AD20" s="28"/>
      <c r="AE20" s="28"/>
      <c r="AF20" s="28"/>
      <c r="AG20" s="26"/>
      <c r="AH20" s="27"/>
      <c r="AI20" s="27"/>
      <c r="AJ20" s="27"/>
      <c r="AK20" s="27"/>
      <c r="AL20" s="29"/>
      <c r="AM20" s="25"/>
      <c r="AN20" s="26"/>
      <c r="AO20" s="30"/>
    </row>
    <row r="21" spans="1:41" ht="15.75" customHeight="1" x14ac:dyDescent="0.2">
      <c r="A21" s="19"/>
      <c r="B21" s="20"/>
      <c r="C21" s="21"/>
      <c r="D21" s="22"/>
      <c r="E21" s="23"/>
      <c r="F21" s="22"/>
      <c r="G21" s="22"/>
      <c r="H21" s="23"/>
      <c r="I21" s="22"/>
      <c r="J21" s="22"/>
      <c r="K21" s="22"/>
      <c r="L21" s="23"/>
      <c r="M21" s="22"/>
      <c r="N21" s="24"/>
      <c r="O21" s="22"/>
      <c r="P21" s="22"/>
      <c r="Q21" s="23"/>
      <c r="R21" s="22"/>
      <c r="S21" s="24"/>
      <c r="T21" s="24"/>
      <c r="U21" s="25"/>
      <c r="V21" s="26"/>
      <c r="W21" s="27"/>
      <c r="X21" s="27"/>
      <c r="Y21" s="27"/>
      <c r="Z21" s="24"/>
      <c r="AA21" s="27"/>
      <c r="AB21" s="28"/>
      <c r="AC21" s="28"/>
      <c r="AD21" s="28"/>
      <c r="AE21" s="28"/>
      <c r="AF21" s="28"/>
      <c r="AG21" s="26"/>
      <c r="AH21" s="27"/>
      <c r="AI21" s="27"/>
      <c r="AJ21" s="27"/>
      <c r="AK21" s="27"/>
      <c r="AL21" s="29"/>
      <c r="AM21" s="25"/>
      <c r="AN21" s="26"/>
      <c r="AO21" s="30"/>
    </row>
    <row r="22" spans="1:41" ht="19.5" customHeight="1" x14ac:dyDescent="0.2">
      <c r="A22" s="19"/>
      <c r="B22" s="20"/>
      <c r="C22" s="21"/>
      <c r="D22" s="22"/>
      <c r="E22" s="23"/>
      <c r="F22" s="22"/>
      <c r="G22" s="22"/>
      <c r="H22" s="23"/>
      <c r="I22" s="22"/>
      <c r="J22" s="22"/>
      <c r="K22" s="22"/>
      <c r="L22" s="23"/>
      <c r="M22" s="22"/>
      <c r="N22" s="24"/>
      <c r="O22" s="22"/>
      <c r="P22" s="22"/>
      <c r="Q22" s="23"/>
      <c r="R22" s="22"/>
      <c r="S22" s="24"/>
      <c r="T22" s="24"/>
      <c r="U22" s="25"/>
      <c r="V22" s="26"/>
      <c r="W22" s="27"/>
      <c r="X22" s="27"/>
      <c r="Y22" s="27"/>
      <c r="Z22" s="24"/>
      <c r="AA22" s="27"/>
      <c r="AB22" s="28"/>
      <c r="AC22" s="28"/>
      <c r="AD22" s="28"/>
      <c r="AE22" s="28"/>
      <c r="AF22" s="28"/>
      <c r="AG22" s="86"/>
      <c r="AH22" s="27"/>
      <c r="AI22" s="27"/>
      <c r="AJ22" s="27"/>
      <c r="AK22" s="27"/>
      <c r="AL22" s="29"/>
      <c r="AM22" s="25"/>
      <c r="AN22" s="26"/>
      <c r="AO22" s="30"/>
    </row>
    <row r="23" spans="1:41" ht="15.75" customHeight="1" x14ac:dyDescent="0.2">
      <c r="A23" s="19"/>
      <c r="B23" s="20"/>
      <c r="C23" s="21"/>
      <c r="D23" s="22"/>
      <c r="E23" s="23"/>
      <c r="F23" s="22"/>
      <c r="G23" s="22"/>
      <c r="H23" s="23"/>
      <c r="I23" s="22"/>
      <c r="J23" s="22"/>
      <c r="K23" s="22"/>
      <c r="L23" s="23"/>
      <c r="M23" s="22"/>
      <c r="N23" s="24"/>
      <c r="O23" s="22"/>
      <c r="P23" s="22"/>
      <c r="Q23" s="23"/>
      <c r="R23" s="22"/>
      <c r="S23" s="24"/>
      <c r="T23" s="24"/>
      <c r="U23" s="25"/>
      <c r="V23" s="26"/>
      <c r="W23" s="27"/>
      <c r="X23" s="27"/>
      <c r="Y23" s="27"/>
      <c r="Z23" s="24"/>
      <c r="AA23" s="27"/>
      <c r="AB23" s="28"/>
      <c r="AC23" s="28"/>
      <c r="AD23" s="28"/>
      <c r="AE23" s="28"/>
      <c r="AF23" s="28"/>
      <c r="AG23" s="26"/>
      <c r="AH23" s="27"/>
      <c r="AI23" s="27"/>
      <c r="AJ23" s="27"/>
      <c r="AK23" s="27"/>
      <c r="AL23" s="29"/>
      <c r="AM23" s="25"/>
      <c r="AN23" s="26"/>
      <c r="AO23" s="30"/>
    </row>
    <row r="24" spans="1:41" ht="15.75" customHeight="1" x14ac:dyDescent="0.2">
      <c r="A24" s="19"/>
      <c r="B24" s="20"/>
      <c r="C24" s="21"/>
      <c r="D24" s="22"/>
      <c r="E24" s="23"/>
      <c r="F24" s="22"/>
      <c r="G24" s="22"/>
      <c r="H24" s="23"/>
      <c r="I24" s="22"/>
      <c r="J24" s="22"/>
      <c r="K24" s="22"/>
      <c r="L24" s="23"/>
      <c r="M24" s="22"/>
      <c r="N24" s="24"/>
      <c r="O24" s="22"/>
      <c r="P24" s="22"/>
      <c r="Q24" s="23"/>
      <c r="R24" s="22"/>
      <c r="S24" s="24"/>
      <c r="T24" s="24"/>
      <c r="U24" s="25"/>
      <c r="V24" s="26"/>
      <c r="W24" s="27"/>
      <c r="X24" s="27"/>
      <c r="Y24" s="27"/>
      <c r="Z24" s="24"/>
      <c r="AA24" s="27"/>
      <c r="AB24" s="28"/>
      <c r="AC24" s="28"/>
      <c r="AD24" s="28"/>
      <c r="AE24" s="28"/>
      <c r="AF24" s="28"/>
      <c r="AG24" s="26"/>
      <c r="AH24" s="27"/>
      <c r="AI24" s="27"/>
      <c r="AJ24" s="27"/>
      <c r="AK24" s="27"/>
      <c r="AL24" s="29"/>
      <c r="AM24" s="25"/>
      <c r="AN24" s="26"/>
      <c r="AO24" s="30"/>
    </row>
    <row r="25" spans="1:41" ht="15.75" customHeight="1" x14ac:dyDescent="0.2">
      <c r="A25" s="19"/>
      <c r="B25" s="20"/>
      <c r="C25" s="21"/>
      <c r="D25" s="22"/>
      <c r="E25" s="23"/>
      <c r="F25" s="22"/>
      <c r="G25" s="22"/>
      <c r="H25" s="23"/>
      <c r="I25" s="22"/>
      <c r="J25" s="22"/>
      <c r="K25" s="22"/>
      <c r="L25" s="23"/>
      <c r="M25" s="22"/>
      <c r="N25" s="24"/>
      <c r="O25" s="22"/>
      <c r="P25" s="22"/>
      <c r="Q25" s="23"/>
      <c r="R25" s="22"/>
      <c r="S25" s="24"/>
      <c r="T25" s="24"/>
      <c r="U25" s="25"/>
      <c r="V25" s="26"/>
      <c r="W25" s="27"/>
      <c r="X25" s="27"/>
      <c r="Y25" s="27"/>
      <c r="Z25" s="24"/>
      <c r="AA25" s="27"/>
      <c r="AB25" s="28"/>
      <c r="AC25" s="28"/>
      <c r="AD25" s="28"/>
      <c r="AE25" s="28"/>
      <c r="AF25" s="28"/>
      <c r="AG25" s="26"/>
      <c r="AH25" s="27"/>
      <c r="AI25" s="27"/>
      <c r="AJ25" s="27"/>
      <c r="AK25" s="27"/>
      <c r="AL25" s="29"/>
      <c r="AM25" s="25"/>
      <c r="AN25" s="26"/>
      <c r="AO25" s="30"/>
    </row>
    <row r="26" spans="1:41" ht="15.75" customHeight="1" x14ac:dyDescent="0.2">
      <c r="A26" s="19"/>
      <c r="B26" s="20"/>
      <c r="C26" s="21"/>
      <c r="D26" s="22"/>
      <c r="E26" s="23"/>
      <c r="F26" s="22"/>
      <c r="G26" s="22"/>
      <c r="H26" s="23"/>
      <c r="I26" s="22"/>
      <c r="J26" s="22"/>
      <c r="K26" s="22"/>
      <c r="L26" s="23"/>
      <c r="M26" s="22"/>
      <c r="N26" s="24"/>
      <c r="O26" s="22"/>
      <c r="P26" s="22"/>
      <c r="Q26" s="23"/>
      <c r="R26" s="22"/>
      <c r="S26" s="24"/>
      <c r="T26" s="24"/>
      <c r="U26" s="25"/>
      <c r="V26" s="26"/>
      <c r="W26" s="27"/>
      <c r="X26" s="27"/>
      <c r="Y26" s="27"/>
      <c r="Z26" s="24"/>
      <c r="AA26" s="27"/>
      <c r="AB26" s="28"/>
      <c r="AC26" s="28"/>
      <c r="AD26" s="28"/>
      <c r="AE26" s="28"/>
      <c r="AF26" s="28"/>
      <c r="AG26" s="26"/>
      <c r="AH26" s="27"/>
      <c r="AI26" s="27"/>
      <c r="AJ26" s="27"/>
      <c r="AK26" s="27"/>
      <c r="AL26" s="29"/>
      <c r="AM26" s="25"/>
      <c r="AN26" s="26"/>
      <c r="AO26" s="30"/>
    </row>
    <row r="27" spans="1:41" ht="15.75" customHeight="1" x14ac:dyDescent="0.2">
      <c r="A27" s="19"/>
      <c r="B27" s="20"/>
      <c r="C27" s="21"/>
      <c r="D27" s="22"/>
      <c r="E27" s="23"/>
      <c r="F27" s="22"/>
      <c r="G27" s="22"/>
      <c r="H27" s="23"/>
      <c r="I27" s="22"/>
      <c r="J27" s="22"/>
      <c r="K27" s="22"/>
      <c r="L27" s="23"/>
      <c r="M27" s="22"/>
      <c r="N27" s="24"/>
      <c r="O27" s="22"/>
      <c r="P27" s="22"/>
      <c r="Q27" s="23"/>
      <c r="R27" s="22"/>
      <c r="S27" s="24"/>
      <c r="T27" s="24"/>
      <c r="U27" s="25"/>
      <c r="V27" s="26"/>
      <c r="W27" s="27"/>
      <c r="X27" s="27"/>
      <c r="Y27" s="27"/>
      <c r="Z27" s="24"/>
      <c r="AA27" s="27"/>
      <c r="AB27" s="28"/>
      <c r="AC27" s="28"/>
      <c r="AD27" s="28"/>
      <c r="AE27" s="28"/>
      <c r="AF27" s="28"/>
      <c r="AG27" s="26"/>
      <c r="AH27" s="27"/>
      <c r="AI27" s="27"/>
      <c r="AJ27" s="27"/>
      <c r="AK27" s="27"/>
      <c r="AL27" s="29"/>
      <c r="AM27" s="25"/>
      <c r="AN27" s="26"/>
      <c r="AO27" s="30"/>
    </row>
    <row r="28" spans="1:41" ht="15.75" customHeight="1" x14ac:dyDescent="0.2">
      <c r="A28" s="19"/>
      <c r="B28" s="20"/>
      <c r="C28" s="21"/>
      <c r="D28" s="22"/>
      <c r="E28" s="23"/>
      <c r="F28" s="22"/>
      <c r="G28" s="22"/>
      <c r="H28" s="23"/>
      <c r="I28" s="22"/>
      <c r="J28" s="22"/>
      <c r="K28" s="22"/>
      <c r="L28" s="23"/>
      <c r="M28" s="22"/>
      <c r="N28" s="24"/>
      <c r="O28" s="22"/>
      <c r="P28" s="22"/>
      <c r="Q28" s="23"/>
      <c r="R28" s="22"/>
      <c r="S28" s="24"/>
      <c r="T28" s="24"/>
      <c r="U28" s="25"/>
      <c r="V28" s="26"/>
      <c r="W28" s="27"/>
      <c r="X28" s="27"/>
      <c r="Y28" s="27"/>
      <c r="Z28" s="24"/>
      <c r="AA28" s="27"/>
      <c r="AB28" s="28"/>
      <c r="AC28" s="28"/>
      <c r="AD28" s="28"/>
      <c r="AE28" s="28"/>
      <c r="AF28" s="28"/>
      <c r="AG28" s="26"/>
      <c r="AH28" s="27"/>
      <c r="AI28" s="27"/>
      <c r="AJ28" s="27"/>
      <c r="AK28" s="27"/>
      <c r="AL28" s="29"/>
      <c r="AM28" s="25"/>
      <c r="AN28" s="26"/>
      <c r="AO28" s="30"/>
    </row>
    <row r="29" spans="1:41" ht="15.75" customHeight="1" x14ac:dyDescent="0.2">
      <c r="A29" s="19"/>
      <c r="B29" s="20"/>
      <c r="C29" s="21"/>
      <c r="D29" s="22"/>
      <c r="E29" s="23"/>
      <c r="F29" s="22"/>
      <c r="G29" s="22"/>
      <c r="H29" s="23"/>
      <c r="I29" s="22"/>
      <c r="J29" s="22"/>
      <c r="K29" s="22"/>
      <c r="L29" s="23"/>
      <c r="M29" s="22"/>
      <c r="N29" s="24"/>
      <c r="O29" s="22"/>
      <c r="P29" s="22"/>
      <c r="Q29" s="23"/>
      <c r="R29" s="22"/>
      <c r="S29" s="24"/>
      <c r="T29" s="24"/>
      <c r="U29" s="25"/>
      <c r="V29" s="26"/>
      <c r="W29" s="27"/>
      <c r="X29" s="27"/>
      <c r="Y29" s="27"/>
      <c r="Z29" s="24"/>
      <c r="AA29" s="27"/>
      <c r="AB29" s="28"/>
      <c r="AC29" s="28"/>
      <c r="AD29" s="28"/>
      <c r="AE29" s="28"/>
      <c r="AF29" s="28"/>
      <c r="AG29" s="26"/>
      <c r="AH29" s="27"/>
      <c r="AI29" s="27"/>
      <c r="AJ29" s="27"/>
      <c r="AK29" s="27"/>
      <c r="AL29" s="29"/>
      <c r="AM29" s="25"/>
      <c r="AN29" s="26"/>
      <c r="AO29" s="30"/>
    </row>
    <row r="30" spans="1:41" ht="15.75" customHeight="1" x14ac:dyDescent="0.2">
      <c r="A30" s="19"/>
      <c r="B30" s="20"/>
      <c r="C30" s="21"/>
      <c r="D30" s="22"/>
      <c r="E30" s="23"/>
      <c r="F30" s="22"/>
      <c r="G30" s="22"/>
      <c r="H30" s="23"/>
      <c r="I30" s="22"/>
      <c r="J30" s="22"/>
      <c r="K30" s="22"/>
      <c r="L30" s="23"/>
      <c r="M30" s="22"/>
      <c r="N30" s="24"/>
      <c r="O30" s="22"/>
      <c r="P30" s="22"/>
      <c r="Q30" s="23"/>
      <c r="R30" s="22"/>
      <c r="S30" s="24"/>
      <c r="T30" s="24"/>
      <c r="U30" s="25"/>
      <c r="V30" s="26"/>
      <c r="W30" s="27"/>
      <c r="X30" s="27"/>
      <c r="Y30" s="27"/>
      <c r="Z30" s="24"/>
      <c r="AA30" s="27"/>
      <c r="AB30" s="28"/>
      <c r="AC30" s="28"/>
      <c r="AD30" s="28"/>
      <c r="AE30" s="28"/>
      <c r="AF30" s="28"/>
      <c r="AG30" s="26"/>
      <c r="AH30" s="27"/>
      <c r="AI30" s="27"/>
      <c r="AJ30" s="27"/>
      <c r="AK30" s="27"/>
      <c r="AL30" s="29"/>
      <c r="AM30" s="25"/>
      <c r="AN30" s="26"/>
      <c r="AO30" s="30"/>
    </row>
    <row r="31" spans="1:41" ht="15.75" customHeight="1" x14ac:dyDescent="0.2">
      <c r="A31" s="19"/>
      <c r="B31" s="20"/>
      <c r="C31" s="21"/>
      <c r="D31" s="22"/>
      <c r="E31" s="23"/>
      <c r="F31" s="22"/>
      <c r="G31" s="22"/>
      <c r="H31" s="23"/>
      <c r="I31" s="22"/>
      <c r="J31" s="22"/>
      <c r="K31" s="22"/>
      <c r="L31" s="23"/>
      <c r="M31" s="22"/>
      <c r="N31" s="24"/>
      <c r="O31" s="22"/>
      <c r="P31" s="22"/>
      <c r="Q31" s="23"/>
      <c r="R31" s="22"/>
      <c r="S31" s="24"/>
      <c r="T31" s="24"/>
      <c r="U31" s="25"/>
      <c r="V31" s="26"/>
      <c r="W31" s="27"/>
      <c r="X31" s="27"/>
      <c r="Y31" s="27"/>
      <c r="Z31" s="24"/>
      <c r="AA31" s="27"/>
      <c r="AB31" s="28"/>
      <c r="AC31" s="28"/>
      <c r="AD31" s="28"/>
      <c r="AE31" s="28"/>
      <c r="AF31" s="28"/>
      <c r="AG31" s="26"/>
      <c r="AH31" s="27"/>
      <c r="AI31" s="27"/>
      <c r="AJ31" s="27"/>
      <c r="AK31" s="27"/>
      <c r="AL31" s="29"/>
      <c r="AM31" s="25"/>
      <c r="AN31" s="26"/>
      <c r="AO31" s="30"/>
    </row>
    <row r="32" spans="1:41" ht="15.75" customHeight="1" x14ac:dyDescent="0.2">
      <c r="A32" s="19"/>
      <c r="B32" s="20"/>
      <c r="C32" s="21"/>
      <c r="D32" s="22"/>
      <c r="E32" s="23"/>
      <c r="F32" s="22"/>
      <c r="G32" s="22"/>
      <c r="H32" s="23"/>
      <c r="I32" s="22"/>
      <c r="J32" s="22"/>
      <c r="K32" s="22"/>
      <c r="L32" s="23"/>
      <c r="M32" s="22"/>
      <c r="N32" s="24"/>
      <c r="O32" s="22"/>
      <c r="P32" s="22"/>
      <c r="Q32" s="23"/>
      <c r="R32" s="22"/>
      <c r="S32" s="24"/>
      <c r="T32" s="24"/>
      <c r="U32" s="25"/>
      <c r="V32" s="26"/>
      <c r="W32" s="27"/>
      <c r="X32" s="27"/>
      <c r="Y32" s="27"/>
      <c r="Z32" s="24"/>
      <c r="AA32" s="27"/>
      <c r="AB32" s="28"/>
      <c r="AC32" s="28"/>
      <c r="AD32" s="28"/>
      <c r="AE32" s="28"/>
      <c r="AF32" s="28"/>
      <c r="AG32" s="26"/>
      <c r="AH32" s="27"/>
      <c r="AI32" s="27"/>
      <c r="AJ32" s="27"/>
      <c r="AK32" s="27"/>
      <c r="AL32" s="29"/>
      <c r="AM32" s="25"/>
      <c r="AN32" s="26"/>
      <c r="AO32" s="30"/>
    </row>
    <row r="33" spans="1:41" ht="15.75" customHeight="1" x14ac:dyDescent="0.2">
      <c r="A33" s="19"/>
      <c r="B33" s="20"/>
      <c r="C33" s="21"/>
      <c r="D33" s="22"/>
      <c r="E33" s="23">
        <f t="shared" ref="E16:E34" si="0">SUM(C33,D33)</f>
        <v>0</v>
      </c>
      <c r="F33" s="22"/>
      <c r="G33" s="22"/>
      <c r="H33" s="23">
        <f t="shared" ref="H16:H35" si="1">F33+G33</f>
        <v>0</v>
      </c>
      <c r="I33" s="22"/>
      <c r="J33" s="22"/>
      <c r="K33" s="22"/>
      <c r="L33" s="23">
        <f t="shared" ref="L16:L35" si="2">SUM(J33,K33)</f>
        <v>0</v>
      </c>
      <c r="M33" s="22"/>
      <c r="N33" s="24">
        <f t="shared" ref="N16:N35" si="3">SUM(M33)</f>
        <v>0</v>
      </c>
      <c r="O33" s="22"/>
      <c r="P33" s="22"/>
      <c r="Q33" s="23">
        <f t="shared" ref="Q16:Q35" si="4">SUM(O33,P33)</f>
        <v>0</v>
      </c>
      <c r="R33" s="22"/>
      <c r="S33" s="24">
        <f t="shared" ref="S16:S35" si="5">SUM(Q33,R33)</f>
        <v>0</v>
      </c>
      <c r="T33" s="24">
        <f t="shared" ref="T17:T35" si="6">SUM(J33,K33,O33,P33)</f>
        <v>0</v>
      </c>
      <c r="U33" s="25">
        <f t="shared" ref="U16:U35" si="7">SUM(I33,N33,S33)</f>
        <v>0</v>
      </c>
      <c r="V33" s="26"/>
      <c r="W33" s="27"/>
      <c r="X33" s="27"/>
      <c r="Y33" s="27"/>
      <c r="Z33" s="24">
        <f t="shared" ref="Z16:Z35" si="8">SUM(X33,Y33)</f>
        <v>0</v>
      </c>
      <c r="AA33" s="27"/>
      <c r="AB33" s="28">
        <f t="shared" ref="AB32:AC36" si="9">IFERROR(V33/J33, 0)</f>
        <v>0</v>
      </c>
      <c r="AC33" s="28">
        <f t="shared" si="9"/>
        <v>0</v>
      </c>
      <c r="AD33" s="28">
        <f t="shared" ref="AD32:AE36" si="10">IFERROR(Z33/O33, 0)</f>
        <v>0</v>
      </c>
      <c r="AE33" s="28">
        <f t="shared" si="10"/>
        <v>0</v>
      </c>
      <c r="AF33" s="28">
        <f t="shared" ref="AF16:AF36" si="11">IFERROR(SUM(V33,W33,Z33,AA33)/SUM(L33,Q33), 0)</f>
        <v>0</v>
      </c>
      <c r="AG33" s="26"/>
      <c r="AH33" s="27"/>
      <c r="AI33" s="27"/>
      <c r="AJ33" s="27"/>
      <c r="AK33" s="27"/>
      <c r="AL33" s="29"/>
      <c r="AM33" s="25">
        <f t="shared" ref="AM16:AM35" si="12">SUM(AG33,AH33,AI33)</f>
        <v>0</v>
      </c>
      <c r="AN33" s="26"/>
      <c r="AO33" s="30">
        <f t="shared" ref="AO16:AO36" si="13">IFERROR((AN33/B33)*1000000, 0)</f>
        <v>0</v>
      </c>
    </row>
    <row r="34" spans="1:41" ht="15.75" customHeight="1" x14ac:dyDescent="0.2">
      <c r="A34" s="19"/>
      <c r="B34" s="31"/>
      <c r="C34" s="26"/>
      <c r="D34" s="27"/>
      <c r="E34" s="23">
        <f t="shared" si="0"/>
        <v>0</v>
      </c>
      <c r="F34" s="27"/>
      <c r="G34" s="27"/>
      <c r="H34" s="23">
        <f t="shared" si="1"/>
        <v>0</v>
      </c>
      <c r="I34" s="27"/>
      <c r="J34" s="22"/>
      <c r="K34" s="22"/>
      <c r="L34" s="23">
        <f t="shared" si="2"/>
        <v>0</v>
      </c>
      <c r="M34" s="22"/>
      <c r="N34" s="24">
        <f t="shared" si="3"/>
        <v>0</v>
      </c>
      <c r="O34" s="22"/>
      <c r="P34" s="22"/>
      <c r="Q34" s="23">
        <f t="shared" si="4"/>
        <v>0</v>
      </c>
      <c r="R34" s="22"/>
      <c r="S34" s="24">
        <f t="shared" si="5"/>
        <v>0</v>
      </c>
      <c r="T34" s="24">
        <f t="shared" si="6"/>
        <v>0</v>
      </c>
      <c r="U34" s="25">
        <f t="shared" si="7"/>
        <v>0</v>
      </c>
      <c r="V34" s="26"/>
      <c r="W34" s="27"/>
      <c r="X34" s="27"/>
      <c r="Y34" s="27"/>
      <c r="Z34" s="24">
        <f t="shared" si="8"/>
        <v>0</v>
      </c>
      <c r="AA34" s="27"/>
      <c r="AB34" s="28">
        <f t="shared" si="9"/>
        <v>0</v>
      </c>
      <c r="AC34" s="28">
        <f t="shared" si="9"/>
        <v>0</v>
      </c>
      <c r="AD34" s="28">
        <f t="shared" si="10"/>
        <v>0</v>
      </c>
      <c r="AE34" s="28">
        <f t="shared" si="10"/>
        <v>0</v>
      </c>
      <c r="AF34" s="28">
        <f t="shared" si="11"/>
        <v>0</v>
      </c>
      <c r="AG34" s="26"/>
      <c r="AH34" s="27"/>
      <c r="AI34" s="27"/>
      <c r="AJ34" s="27"/>
      <c r="AK34" s="27"/>
      <c r="AL34" s="29"/>
      <c r="AM34" s="25">
        <f t="shared" si="12"/>
        <v>0</v>
      </c>
      <c r="AN34" s="26"/>
      <c r="AO34" s="30">
        <f t="shared" si="13"/>
        <v>0</v>
      </c>
    </row>
    <row r="35" spans="1:41" ht="15.75" customHeight="1" thickBot="1" x14ac:dyDescent="0.25">
      <c r="A35" s="32"/>
      <c r="B35" s="33"/>
      <c r="C35" s="34"/>
      <c r="D35" s="35"/>
      <c r="E35" s="36">
        <f>SUM(C35:D35)</f>
        <v>0</v>
      </c>
      <c r="F35" s="35"/>
      <c r="G35" s="35"/>
      <c r="H35" s="36">
        <f t="shared" si="1"/>
        <v>0</v>
      </c>
      <c r="I35" s="35"/>
      <c r="J35" s="35"/>
      <c r="K35" s="35"/>
      <c r="L35" s="36">
        <f t="shared" si="2"/>
        <v>0</v>
      </c>
      <c r="M35" s="35"/>
      <c r="N35" s="37">
        <f t="shared" si="3"/>
        <v>0</v>
      </c>
      <c r="O35" s="35"/>
      <c r="P35" s="35"/>
      <c r="Q35" s="36">
        <f t="shared" si="4"/>
        <v>0</v>
      </c>
      <c r="R35" s="35"/>
      <c r="S35" s="37">
        <f t="shared" si="5"/>
        <v>0</v>
      </c>
      <c r="T35" s="37">
        <f t="shared" si="6"/>
        <v>0</v>
      </c>
      <c r="U35" s="38">
        <f t="shared" si="7"/>
        <v>0</v>
      </c>
      <c r="V35" s="39"/>
      <c r="W35" s="40"/>
      <c r="X35" s="40"/>
      <c r="Y35" s="40"/>
      <c r="Z35" s="37">
        <f t="shared" si="8"/>
        <v>0</v>
      </c>
      <c r="AA35" s="40"/>
      <c r="AB35" s="41">
        <f t="shared" si="9"/>
        <v>0</v>
      </c>
      <c r="AC35" s="41">
        <f t="shared" si="9"/>
        <v>0</v>
      </c>
      <c r="AD35" s="41">
        <f t="shared" si="10"/>
        <v>0</v>
      </c>
      <c r="AE35" s="41">
        <f t="shared" si="10"/>
        <v>0</v>
      </c>
      <c r="AF35" s="41">
        <f t="shared" si="11"/>
        <v>0</v>
      </c>
      <c r="AG35" s="39"/>
      <c r="AH35" s="40"/>
      <c r="AI35" s="40"/>
      <c r="AJ35" s="40"/>
      <c r="AK35" s="40"/>
      <c r="AL35" s="42"/>
      <c r="AM35" s="38">
        <f t="shared" si="12"/>
        <v>0</v>
      </c>
      <c r="AN35" s="39"/>
      <c r="AO35" s="43">
        <f t="shared" si="13"/>
        <v>0</v>
      </c>
    </row>
    <row r="36" spans="1:41" ht="15.75" customHeight="1" thickTop="1" thickBot="1" x14ac:dyDescent="0.25">
      <c r="A36" s="44" t="s">
        <v>54</v>
      </c>
      <c r="B36" s="45">
        <f t="shared" ref="B36:AA36" si="14">SUM(B16:B35)</f>
        <v>0</v>
      </c>
      <c r="C36" s="46">
        <f t="shared" si="14"/>
        <v>0</v>
      </c>
      <c r="D36" s="47">
        <f t="shared" si="14"/>
        <v>0</v>
      </c>
      <c r="E36" s="47">
        <f t="shared" si="14"/>
        <v>0</v>
      </c>
      <c r="F36" s="47">
        <f t="shared" si="14"/>
        <v>0</v>
      </c>
      <c r="G36" s="47">
        <f t="shared" si="14"/>
        <v>0</v>
      </c>
      <c r="H36" s="47">
        <f t="shared" si="14"/>
        <v>0</v>
      </c>
      <c r="I36" s="47">
        <f t="shared" si="14"/>
        <v>0</v>
      </c>
      <c r="J36" s="47">
        <f t="shared" si="14"/>
        <v>0</v>
      </c>
      <c r="K36" s="47">
        <f t="shared" si="14"/>
        <v>0</v>
      </c>
      <c r="L36" s="47">
        <f t="shared" si="14"/>
        <v>0</v>
      </c>
      <c r="M36" s="47">
        <f t="shared" si="14"/>
        <v>0</v>
      </c>
      <c r="N36" s="47">
        <f t="shared" si="14"/>
        <v>0</v>
      </c>
      <c r="O36" s="47">
        <f t="shared" si="14"/>
        <v>0</v>
      </c>
      <c r="P36" s="47">
        <f t="shared" si="14"/>
        <v>0</v>
      </c>
      <c r="Q36" s="47">
        <f t="shared" si="14"/>
        <v>0</v>
      </c>
      <c r="R36" s="47">
        <f t="shared" si="14"/>
        <v>0</v>
      </c>
      <c r="S36" s="47">
        <f t="shared" si="14"/>
        <v>0</v>
      </c>
      <c r="T36" s="47">
        <f t="shared" si="14"/>
        <v>0</v>
      </c>
      <c r="U36" s="48">
        <f t="shared" si="14"/>
        <v>0</v>
      </c>
      <c r="V36" s="46">
        <f t="shared" si="14"/>
        <v>0</v>
      </c>
      <c r="W36" s="47">
        <f t="shared" si="14"/>
        <v>0</v>
      </c>
      <c r="X36" s="47">
        <f t="shared" si="14"/>
        <v>0</v>
      </c>
      <c r="Y36" s="47">
        <f t="shared" si="14"/>
        <v>0</v>
      </c>
      <c r="Z36" s="47">
        <f t="shared" si="14"/>
        <v>0</v>
      </c>
      <c r="AA36" s="47">
        <f t="shared" si="14"/>
        <v>0</v>
      </c>
      <c r="AB36" s="49">
        <f t="shared" si="9"/>
        <v>0</v>
      </c>
      <c r="AC36" s="49">
        <f t="shared" si="9"/>
        <v>0</v>
      </c>
      <c r="AD36" s="49">
        <f t="shared" si="10"/>
        <v>0</v>
      </c>
      <c r="AE36" s="49">
        <f t="shared" si="10"/>
        <v>0</v>
      </c>
      <c r="AF36" s="49">
        <f t="shared" si="11"/>
        <v>0</v>
      </c>
      <c r="AG36" s="46">
        <f t="shared" ref="AG36:AN36" si="15">SUM(AG16:AG35)</f>
        <v>0</v>
      </c>
      <c r="AH36" s="47">
        <f t="shared" si="15"/>
        <v>0</v>
      </c>
      <c r="AI36" s="47">
        <f t="shared" si="15"/>
        <v>0</v>
      </c>
      <c r="AJ36" s="47">
        <f t="shared" si="15"/>
        <v>0</v>
      </c>
      <c r="AK36" s="47">
        <f t="shared" si="15"/>
        <v>0</v>
      </c>
      <c r="AL36" s="47">
        <f t="shared" si="15"/>
        <v>0</v>
      </c>
      <c r="AM36" s="48">
        <f t="shared" si="15"/>
        <v>0</v>
      </c>
      <c r="AN36" s="46">
        <f t="shared" si="15"/>
        <v>0</v>
      </c>
      <c r="AO36" s="50">
        <f t="shared" si="13"/>
        <v>0</v>
      </c>
    </row>
    <row r="37" spans="1:41" ht="15.75" customHeight="1" thickTop="1" x14ac:dyDescent="0.2">
      <c r="A37" s="51"/>
      <c r="B37" s="4"/>
      <c r="C37" s="52"/>
      <c r="D37" s="52"/>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row>
    <row r="38" spans="1:41" ht="15.75" customHeight="1" x14ac:dyDescent="0.2">
      <c r="A38" s="103" t="s">
        <v>55</v>
      </c>
      <c r="B38" s="4">
        <v>1</v>
      </c>
      <c r="C38" s="53" t="str">
        <f ca="1">IFERROR(__xludf.DUMMYFUNCTION("IF(
  COUNTUNIQUE($E$36,$H$36,$U$36,$AM$36)=1,
  ""✅ Totals of sex, age, animal bite cases, and biting animals match"",
  ""❌ Totals of sex, age, animal bite cases, and biting animals DO NOT match. Please recheck the data.""
)
"),"✅ Totals of sex, age, animal bite cases, and biting animals match")</f>
        <v>✅ Totals of sex, age, animal bite cases, and biting animals match</v>
      </c>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row>
    <row r="39" spans="1:41" ht="15.75" customHeight="1" x14ac:dyDescent="0.2">
      <c r="A39" s="88"/>
      <c r="B39" s="4">
        <v>2</v>
      </c>
      <c r="C39" s="53" t="str">
        <f>IF(
  SUMPRODUCT(--(AB16:AF36&gt;1))=0,
  "✅ PEP Coverage ≤100%",
  "❌ PEP Coverage cannot exceed 100%. "&amp;SUMPRODUCT(--(AB16:AF36&gt;1))&amp;" cell(s) exceed 100%. Please recheck the data."
)</f>
        <v>✅ PEP Coverage ≤100%</v>
      </c>
      <c r="D39" s="52"/>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row>
    <row r="40" spans="1:41" ht="234" customHeight="1" x14ac:dyDescent="0.2">
      <c r="A40" s="104" t="s">
        <v>56</v>
      </c>
      <c r="B40" s="88"/>
      <c r="C40" s="88"/>
      <c r="D40" s="88"/>
      <c r="E40" s="88"/>
      <c r="F40" s="88"/>
      <c r="G40" s="88"/>
      <c r="H40" s="88"/>
      <c r="I40" s="88"/>
      <c r="J40" s="88"/>
      <c r="K40" s="88"/>
      <c r="L40" s="88"/>
      <c r="M40" s="88"/>
      <c r="N40" s="88"/>
      <c r="O40" s="88"/>
      <c r="P40" s="88"/>
      <c r="Q40" s="88"/>
      <c r="R40" s="88"/>
      <c r="S40" s="88"/>
      <c r="T40" s="88"/>
      <c r="U40" s="88"/>
      <c r="V40" s="87" t="s">
        <v>57</v>
      </c>
      <c r="W40" s="88"/>
      <c r="X40" s="88"/>
      <c r="Y40" s="88"/>
      <c r="Z40" s="88"/>
      <c r="AA40" s="88"/>
      <c r="AB40" s="87" t="s">
        <v>58</v>
      </c>
      <c r="AC40" s="88"/>
      <c r="AD40" s="88"/>
      <c r="AE40" s="88"/>
      <c r="AF40" s="88"/>
      <c r="AG40" s="88"/>
      <c r="AH40" s="87" t="s">
        <v>59</v>
      </c>
      <c r="AI40" s="88"/>
      <c r="AJ40" s="88"/>
      <c r="AK40" s="88"/>
      <c r="AL40" s="88"/>
      <c r="AM40" s="88"/>
      <c r="AN40" s="88"/>
      <c r="AO40" s="88"/>
    </row>
    <row r="41" spans="1:41" ht="15.75" customHeight="1" x14ac:dyDescent="0.2"/>
    <row r="42" spans="1:41" ht="15.75" customHeight="1" x14ac:dyDescent="0.2"/>
    <row r="43" spans="1:41" ht="15.75" customHeight="1" x14ac:dyDescent="0.2"/>
    <row r="44" spans="1:41" ht="15.75" customHeight="1" x14ac:dyDescent="0.2"/>
    <row r="45" spans="1:41" ht="15.75" customHeight="1" x14ac:dyDescent="0.2"/>
    <row r="46" spans="1:41" ht="15.75" customHeight="1" x14ac:dyDescent="0.2"/>
    <row r="47" spans="1:41" ht="15.75" customHeight="1" x14ac:dyDescent="0.2"/>
    <row r="48" spans="1:41"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61">
    <mergeCell ref="H13:H15"/>
    <mergeCell ref="I13:I15"/>
    <mergeCell ref="V11:AF11"/>
    <mergeCell ref="A1:A5"/>
    <mergeCell ref="A7:A9"/>
    <mergeCell ref="C7:F7"/>
    <mergeCell ref="J7:K7"/>
    <mergeCell ref="A11:A15"/>
    <mergeCell ref="B11:B15"/>
    <mergeCell ref="C11:U11"/>
    <mergeCell ref="J13:N13"/>
    <mergeCell ref="O13:S13"/>
    <mergeCell ref="T13:T15"/>
    <mergeCell ref="C12:E12"/>
    <mergeCell ref="F12:H12"/>
    <mergeCell ref="I12:U12"/>
    <mergeCell ref="AG11:AM11"/>
    <mergeCell ref="AN11:AO11"/>
    <mergeCell ref="AG12:AI12"/>
    <mergeCell ref="AJ12:AL12"/>
    <mergeCell ref="C13:C15"/>
    <mergeCell ref="D13:D15"/>
    <mergeCell ref="E13:E15"/>
    <mergeCell ref="F13:F15"/>
    <mergeCell ref="G13:G15"/>
    <mergeCell ref="V14:V15"/>
    <mergeCell ref="W14:W15"/>
    <mergeCell ref="X14:Z14"/>
    <mergeCell ref="AA14:AA15"/>
    <mergeCell ref="AM12:AM15"/>
    <mergeCell ref="V12:AA12"/>
    <mergeCell ref="AB12:AF12"/>
    <mergeCell ref="A38:A39"/>
    <mergeCell ref="A40:U40"/>
    <mergeCell ref="V40:AA40"/>
    <mergeCell ref="AB40:AG40"/>
    <mergeCell ref="J14:L14"/>
    <mergeCell ref="M14:M15"/>
    <mergeCell ref="N14:N15"/>
    <mergeCell ref="O14:Q14"/>
    <mergeCell ref="R14:R15"/>
    <mergeCell ref="S14:S15"/>
    <mergeCell ref="AG13:AG15"/>
    <mergeCell ref="U13:U15"/>
    <mergeCell ref="V13:W13"/>
    <mergeCell ref="X13:AA13"/>
    <mergeCell ref="AB13:AC13"/>
    <mergeCell ref="AD13:AE13"/>
    <mergeCell ref="AH40:AO40"/>
    <mergeCell ref="AB14:AB15"/>
    <mergeCell ref="AC14:AC15"/>
    <mergeCell ref="AD14:AD15"/>
    <mergeCell ref="AE14:AE15"/>
    <mergeCell ref="AH13:AH15"/>
    <mergeCell ref="AI13:AI15"/>
    <mergeCell ref="AJ13:AJ15"/>
    <mergeCell ref="AK13:AK15"/>
    <mergeCell ref="AL13:AL15"/>
    <mergeCell ref="AF13:AF15"/>
    <mergeCell ref="AN12:AN15"/>
    <mergeCell ref="AO12:AO15"/>
  </mergeCells>
  <conditionalFormatting sqref="B38">
    <cfRule type="expression" dxfId="37" priority="1">
      <formula>COUNTUNIQUE($E$36,$H$36,$U$36,$AM$36)=1</formula>
    </cfRule>
    <cfRule type="expression" dxfId="36" priority="6">
      <formula>COUNTUNIQUE($E$36,$H$36,$U$36,$AM$36)&gt;1</formula>
    </cfRule>
  </conditionalFormatting>
  <conditionalFormatting sqref="B39">
    <cfRule type="expression" dxfId="35" priority="4">
      <formula>SUMPRODUCT(--(AB16:AF36&gt;1))=0</formula>
    </cfRule>
    <cfRule type="expression" dxfId="34" priority="5">
      <formula>SUMPRODUCT(--(AB16:AF36&gt;1))&gt;0</formula>
    </cfRule>
  </conditionalFormatting>
  <conditionalFormatting sqref="AB16:AF36">
    <cfRule type="expression" dxfId="33" priority="2">
      <formula>AND(AB16&lt;&gt;"", AB16&gt;1)</formula>
    </cfRule>
    <cfRule type="expression" dxfId="32" priority="3">
      <formula>AND(AB16&lt;&gt;"", AB16&gt;=0, AB16&lt;=1)</formula>
    </cfRule>
  </conditionalFormatting>
  <hyperlinks>
    <hyperlink ref="A40" r:id="rId1" xr:uid="{61633CC4-2B04-4D6F-BF35-84DCF44E73D4}"/>
  </hyperlinks>
  <pageMargins left="0.75" right="0.75" top="1" bottom="1" header="0" footer="0"/>
  <pageSetup paperSize="14" orientation="landscape"/>
  <colBreaks count="2" manualBreakCount="2">
    <brk id="21" man="1"/>
    <brk id="41"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O1000"/>
  <sheetViews>
    <sheetView zoomScaleNormal="100" workbookViewId="0">
      <pane ySplit="15" topLeftCell="A16" activePane="bottomLeft" state="frozen"/>
      <selection pane="bottomLeft" activeCell="A16" sqref="A16"/>
    </sheetView>
  </sheetViews>
  <sheetFormatPr defaultColWidth="12.5703125" defaultRowHeight="15" customHeight="1" x14ac:dyDescent="0.2"/>
  <cols>
    <col min="1" max="1" width="18.140625" customWidth="1"/>
    <col min="2" max="2" width="12.28515625" customWidth="1"/>
    <col min="3" max="41" width="10.7109375" customWidth="1"/>
  </cols>
  <sheetData>
    <row r="1" spans="1:41" ht="15.75" customHeight="1" x14ac:dyDescent="0.2">
      <c r="A1" s="115"/>
      <c r="B1" s="1"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15.75" customHeight="1" x14ac:dyDescent="0.2">
      <c r="A2" s="88"/>
      <c r="B2" s="1"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row>
    <row r="3" spans="1:41" ht="15.75" customHeight="1" x14ac:dyDescent="0.2">
      <c r="A3" s="88"/>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row>
    <row r="4" spans="1:41" ht="15.75" customHeight="1" x14ac:dyDescent="0.2">
      <c r="A4" s="88"/>
      <c r="B4" s="3" t="s">
        <v>2</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row>
    <row r="5" spans="1:41" ht="15.75" customHeight="1" x14ac:dyDescent="0.2">
      <c r="A5" s="88"/>
      <c r="B5" s="3" t="s">
        <v>3</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row>
    <row r="6" spans="1:41" ht="15.75" customHeight="1" x14ac:dyDescent="0.2">
      <c r="A6" s="4"/>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row>
    <row r="7" spans="1:41" ht="15.75" customHeight="1" x14ac:dyDescent="0.2">
      <c r="A7" s="116"/>
      <c r="B7" s="3" t="s">
        <v>102</v>
      </c>
      <c r="C7" s="117"/>
      <c r="D7" s="118"/>
      <c r="E7" s="118"/>
      <c r="F7" s="118"/>
      <c r="H7" s="3" t="s">
        <v>4</v>
      </c>
      <c r="I7" s="3"/>
      <c r="J7" s="117" t="s">
        <v>60</v>
      </c>
      <c r="K7" s="118"/>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row>
    <row r="8" spans="1:41" ht="15.75" customHeight="1" x14ac:dyDescent="0.2">
      <c r="A8" s="88"/>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row>
    <row r="9" spans="1:41" ht="15.75" customHeight="1" x14ac:dyDescent="0.2">
      <c r="A9" s="88"/>
      <c r="B9" s="55" t="s">
        <v>61</v>
      </c>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row>
    <row r="10" spans="1:41" ht="15.75" customHeight="1" x14ac:dyDescent="0.2">
      <c r="A10" s="4"/>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row>
    <row r="11" spans="1:41" ht="15.75" customHeight="1" x14ac:dyDescent="0.2">
      <c r="A11" s="119" t="s">
        <v>100</v>
      </c>
      <c r="B11" s="119" t="s">
        <v>8</v>
      </c>
      <c r="C11" s="110" t="s">
        <v>9</v>
      </c>
      <c r="D11" s="111"/>
      <c r="E11" s="111"/>
      <c r="F11" s="111"/>
      <c r="G11" s="111"/>
      <c r="H11" s="111"/>
      <c r="I11" s="111"/>
      <c r="J11" s="111"/>
      <c r="K11" s="111"/>
      <c r="L11" s="111"/>
      <c r="M11" s="111"/>
      <c r="N11" s="111"/>
      <c r="O11" s="111"/>
      <c r="P11" s="111"/>
      <c r="Q11" s="111"/>
      <c r="R11" s="111"/>
      <c r="S11" s="111"/>
      <c r="T11" s="111"/>
      <c r="U11" s="112"/>
      <c r="V11" s="110" t="s">
        <v>10</v>
      </c>
      <c r="W11" s="111"/>
      <c r="X11" s="111"/>
      <c r="Y11" s="111"/>
      <c r="Z11" s="111"/>
      <c r="AA11" s="111"/>
      <c r="AB11" s="111"/>
      <c r="AC11" s="111"/>
      <c r="AD11" s="111"/>
      <c r="AE11" s="111"/>
      <c r="AF11" s="112"/>
      <c r="AG11" s="110" t="s">
        <v>11</v>
      </c>
      <c r="AH11" s="111"/>
      <c r="AI11" s="111"/>
      <c r="AJ11" s="111"/>
      <c r="AK11" s="111"/>
      <c r="AL11" s="111"/>
      <c r="AM11" s="112"/>
      <c r="AN11" s="110" t="s">
        <v>12</v>
      </c>
      <c r="AO11" s="113"/>
    </row>
    <row r="12" spans="1:41" ht="15.75" customHeight="1" x14ac:dyDescent="0.2">
      <c r="A12" s="120"/>
      <c r="B12" s="120"/>
      <c r="C12" s="108" t="s">
        <v>13</v>
      </c>
      <c r="D12" s="106"/>
      <c r="E12" s="107"/>
      <c r="F12" s="105" t="s">
        <v>14</v>
      </c>
      <c r="G12" s="106"/>
      <c r="H12" s="107"/>
      <c r="I12" s="105" t="s">
        <v>15</v>
      </c>
      <c r="J12" s="106"/>
      <c r="K12" s="106"/>
      <c r="L12" s="106"/>
      <c r="M12" s="106"/>
      <c r="N12" s="106"/>
      <c r="O12" s="106"/>
      <c r="P12" s="106"/>
      <c r="Q12" s="106"/>
      <c r="R12" s="106"/>
      <c r="S12" s="106"/>
      <c r="T12" s="106"/>
      <c r="U12" s="107"/>
      <c r="V12" s="108" t="s">
        <v>16</v>
      </c>
      <c r="W12" s="106"/>
      <c r="X12" s="106"/>
      <c r="Y12" s="106"/>
      <c r="Z12" s="106"/>
      <c r="AA12" s="107"/>
      <c r="AB12" s="114" t="s">
        <v>17</v>
      </c>
      <c r="AC12" s="106"/>
      <c r="AD12" s="106"/>
      <c r="AE12" s="106"/>
      <c r="AF12" s="107"/>
      <c r="AG12" s="108" t="s">
        <v>18</v>
      </c>
      <c r="AH12" s="106"/>
      <c r="AI12" s="107"/>
      <c r="AJ12" s="105" t="s">
        <v>19</v>
      </c>
      <c r="AK12" s="106"/>
      <c r="AL12" s="107"/>
      <c r="AM12" s="94" t="s">
        <v>20</v>
      </c>
      <c r="AN12" s="97" t="s">
        <v>21</v>
      </c>
      <c r="AO12" s="100" t="s">
        <v>22</v>
      </c>
    </row>
    <row r="13" spans="1:41" ht="15.75" customHeight="1" x14ac:dyDescent="0.2">
      <c r="A13" s="120"/>
      <c r="B13" s="120"/>
      <c r="C13" s="97" t="s">
        <v>23</v>
      </c>
      <c r="D13" s="92" t="s">
        <v>24</v>
      </c>
      <c r="E13" s="92" t="s">
        <v>20</v>
      </c>
      <c r="F13" s="92" t="s">
        <v>25</v>
      </c>
      <c r="G13" s="92" t="s">
        <v>26</v>
      </c>
      <c r="H13" s="92" t="s">
        <v>20</v>
      </c>
      <c r="I13" s="92" t="s">
        <v>27</v>
      </c>
      <c r="J13" s="105" t="s">
        <v>28</v>
      </c>
      <c r="K13" s="106"/>
      <c r="L13" s="106"/>
      <c r="M13" s="106"/>
      <c r="N13" s="107"/>
      <c r="O13" s="105" t="s">
        <v>29</v>
      </c>
      <c r="P13" s="106"/>
      <c r="Q13" s="106"/>
      <c r="R13" s="106"/>
      <c r="S13" s="107"/>
      <c r="T13" s="92" t="s">
        <v>30</v>
      </c>
      <c r="U13" s="94" t="s">
        <v>31</v>
      </c>
      <c r="V13" s="108" t="s">
        <v>28</v>
      </c>
      <c r="W13" s="107"/>
      <c r="X13" s="105" t="s">
        <v>29</v>
      </c>
      <c r="Y13" s="106"/>
      <c r="Z13" s="106"/>
      <c r="AA13" s="107"/>
      <c r="AB13" s="109" t="s">
        <v>32</v>
      </c>
      <c r="AC13" s="107"/>
      <c r="AD13" s="109" t="s">
        <v>33</v>
      </c>
      <c r="AE13" s="107"/>
      <c r="AF13" s="89" t="s">
        <v>34</v>
      </c>
      <c r="AG13" s="97" t="s">
        <v>35</v>
      </c>
      <c r="AH13" s="92" t="s">
        <v>36</v>
      </c>
      <c r="AI13" s="92" t="s">
        <v>37</v>
      </c>
      <c r="AJ13" s="92" t="s">
        <v>38</v>
      </c>
      <c r="AK13" s="92" t="s">
        <v>39</v>
      </c>
      <c r="AL13" s="94" t="s">
        <v>40</v>
      </c>
      <c r="AM13" s="95"/>
      <c r="AN13" s="98"/>
      <c r="AO13" s="101"/>
    </row>
    <row r="14" spans="1:41" ht="15.75" customHeight="1" x14ac:dyDescent="0.2">
      <c r="A14" s="120"/>
      <c r="B14" s="120"/>
      <c r="C14" s="98"/>
      <c r="D14" s="93"/>
      <c r="E14" s="93"/>
      <c r="F14" s="93"/>
      <c r="G14" s="93"/>
      <c r="H14" s="93"/>
      <c r="I14" s="93"/>
      <c r="J14" s="105" t="s">
        <v>41</v>
      </c>
      <c r="K14" s="106"/>
      <c r="L14" s="107"/>
      <c r="M14" s="92" t="s">
        <v>42</v>
      </c>
      <c r="N14" s="92" t="s">
        <v>43</v>
      </c>
      <c r="O14" s="105" t="s">
        <v>41</v>
      </c>
      <c r="P14" s="106"/>
      <c r="Q14" s="107"/>
      <c r="R14" s="92" t="s">
        <v>42</v>
      </c>
      <c r="S14" s="92" t="s">
        <v>44</v>
      </c>
      <c r="T14" s="93"/>
      <c r="U14" s="95"/>
      <c r="V14" s="97" t="s">
        <v>45</v>
      </c>
      <c r="W14" s="92" t="s">
        <v>46</v>
      </c>
      <c r="X14" s="105" t="s">
        <v>47</v>
      </c>
      <c r="Y14" s="106"/>
      <c r="Z14" s="107"/>
      <c r="AA14" s="92" t="s">
        <v>48</v>
      </c>
      <c r="AB14" s="89" t="s">
        <v>45</v>
      </c>
      <c r="AC14" s="89" t="s">
        <v>46</v>
      </c>
      <c r="AD14" s="91" t="s">
        <v>49</v>
      </c>
      <c r="AE14" s="91" t="s">
        <v>50</v>
      </c>
      <c r="AF14" s="93"/>
      <c r="AG14" s="98"/>
      <c r="AH14" s="93"/>
      <c r="AI14" s="93"/>
      <c r="AJ14" s="93"/>
      <c r="AK14" s="93"/>
      <c r="AL14" s="95"/>
      <c r="AM14" s="95"/>
      <c r="AN14" s="98"/>
      <c r="AO14" s="101"/>
    </row>
    <row r="15" spans="1:41" ht="33.75" customHeight="1" x14ac:dyDescent="0.2">
      <c r="A15" s="121"/>
      <c r="B15" s="121"/>
      <c r="C15" s="99"/>
      <c r="D15" s="90"/>
      <c r="E15" s="90"/>
      <c r="F15" s="90"/>
      <c r="G15" s="90"/>
      <c r="H15" s="90"/>
      <c r="I15" s="90"/>
      <c r="J15" s="6" t="s">
        <v>45</v>
      </c>
      <c r="K15" s="6" t="s">
        <v>46</v>
      </c>
      <c r="L15" s="6" t="s">
        <v>51</v>
      </c>
      <c r="M15" s="90"/>
      <c r="N15" s="90"/>
      <c r="O15" s="6" t="s">
        <v>47</v>
      </c>
      <c r="P15" s="6" t="s">
        <v>48</v>
      </c>
      <c r="Q15" s="6" t="s">
        <v>20</v>
      </c>
      <c r="R15" s="90"/>
      <c r="S15" s="90"/>
      <c r="T15" s="90"/>
      <c r="U15" s="96"/>
      <c r="V15" s="99"/>
      <c r="W15" s="90"/>
      <c r="X15" s="6" t="s">
        <v>52</v>
      </c>
      <c r="Y15" s="6" t="s">
        <v>53</v>
      </c>
      <c r="Z15" s="6" t="s">
        <v>20</v>
      </c>
      <c r="AA15" s="90"/>
      <c r="AB15" s="90"/>
      <c r="AC15" s="90"/>
      <c r="AD15" s="90"/>
      <c r="AE15" s="90"/>
      <c r="AF15" s="90"/>
      <c r="AG15" s="99"/>
      <c r="AH15" s="90"/>
      <c r="AI15" s="90"/>
      <c r="AJ15" s="90"/>
      <c r="AK15" s="90"/>
      <c r="AL15" s="96"/>
      <c r="AM15" s="96"/>
      <c r="AN15" s="99"/>
      <c r="AO15" s="102"/>
    </row>
    <row r="16" spans="1:41" ht="15.75" customHeight="1" x14ac:dyDescent="0.2">
      <c r="A16" s="7"/>
      <c r="B16" s="8"/>
      <c r="C16" s="9"/>
      <c r="D16" s="10"/>
      <c r="E16" s="11">
        <f t="shared" ref="E16:E34" si="0">SUM(C16,D16)</f>
        <v>0</v>
      </c>
      <c r="F16" s="10"/>
      <c r="G16" s="10"/>
      <c r="H16" s="11">
        <f t="shared" ref="H16:H35" si="1">F16+G16</f>
        <v>0</v>
      </c>
      <c r="I16" s="10"/>
      <c r="J16" s="10"/>
      <c r="K16" s="10"/>
      <c r="L16" s="11">
        <f t="shared" ref="L16:L35" si="2">SUM(J16,K16)</f>
        <v>0</v>
      </c>
      <c r="M16" s="10"/>
      <c r="N16" s="12">
        <f t="shared" ref="N16:N35" si="3">SUM(M16)</f>
        <v>0</v>
      </c>
      <c r="O16" s="10"/>
      <c r="P16" s="10"/>
      <c r="Q16" s="11">
        <f t="shared" ref="Q16:Q35" si="4">SUM(O16,P16)</f>
        <v>0</v>
      </c>
      <c r="R16" s="10"/>
      <c r="S16" s="12">
        <f t="shared" ref="S16:S35" si="5">SUM(Q16,R16)</f>
        <v>0</v>
      </c>
      <c r="T16" s="12">
        <f>SUM(L16,Q16)</f>
        <v>0</v>
      </c>
      <c r="U16" s="13">
        <f t="shared" ref="U16:U35" si="6">SUM(I16,N16,S16)</f>
        <v>0</v>
      </c>
      <c r="V16" s="14"/>
      <c r="W16" s="15"/>
      <c r="X16" s="15"/>
      <c r="Y16" s="15"/>
      <c r="Z16" s="12">
        <f t="shared" ref="Z16:Z35" si="7">SUM(X16,Y16)</f>
        <v>0</v>
      </c>
      <c r="AA16" s="15"/>
      <c r="AB16" s="16">
        <f t="shared" ref="AB16:AC16" si="8">IFERROR(V16/J16, 0)</f>
        <v>0</v>
      </c>
      <c r="AC16" s="16">
        <f t="shared" si="8"/>
        <v>0</v>
      </c>
      <c r="AD16" s="16">
        <f t="shared" ref="AD16:AE16" si="9">IFERROR(Z16/O16, 0)</f>
        <v>0</v>
      </c>
      <c r="AE16" s="16">
        <f t="shared" si="9"/>
        <v>0</v>
      </c>
      <c r="AF16" s="16">
        <f t="shared" ref="AF16:AF36" si="10">IFERROR(SUM(V16,W16,Z16,AA16)/SUM(L16,Q16), 0)</f>
        <v>0</v>
      </c>
      <c r="AG16" s="14"/>
      <c r="AH16" s="15"/>
      <c r="AI16" s="15"/>
      <c r="AJ16" s="15"/>
      <c r="AK16" s="15"/>
      <c r="AL16" s="17"/>
      <c r="AM16" s="13">
        <f t="shared" ref="AM16:AM35" si="11">SUM(AG16,AH16,AI16)</f>
        <v>0</v>
      </c>
      <c r="AN16" s="14"/>
      <c r="AO16" s="18">
        <f t="shared" ref="AO16:AO36" si="12">IFERROR((AN16/B16)*1000000, 0)</f>
        <v>0</v>
      </c>
    </row>
    <row r="17" spans="1:41" ht="15.75" customHeight="1" x14ac:dyDescent="0.2">
      <c r="A17" s="19"/>
      <c r="B17" s="20"/>
      <c r="C17" s="21"/>
      <c r="D17" s="22"/>
      <c r="E17" s="23">
        <f t="shared" si="0"/>
        <v>0</v>
      </c>
      <c r="F17" s="22"/>
      <c r="G17" s="22"/>
      <c r="H17" s="23">
        <f t="shared" si="1"/>
        <v>0</v>
      </c>
      <c r="I17" s="22"/>
      <c r="J17" s="22"/>
      <c r="K17" s="22"/>
      <c r="L17" s="23">
        <f t="shared" si="2"/>
        <v>0</v>
      </c>
      <c r="M17" s="22"/>
      <c r="N17" s="24">
        <f t="shared" si="3"/>
        <v>0</v>
      </c>
      <c r="O17" s="22"/>
      <c r="P17" s="22"/>
      <c r="Q17" s="23">
        <f t="shared" si="4"/>
        <v>0</v>
      </c>
      <c r="R17" s="22"/>
      <c r="S17" s="24">
        <f t="shared" si="5"/>
        <v>0</v>
      </c>
      <c r="T17" s="24">
        <f t="shared" ref="T17:T35" si="13">SUM(J17,K17,O17,P17)</f>
        <v>0</v>
      </c>
      <c r="U17" s="25">
        <f t="shared" si="6"/>
        <v>0</v>
      </c>
      <c r="V17" s="26"/>
      <c r="W17" s="27"/>
      <c r="X17" s="27"/>
      <c r="Y17" s="27"/>
      <c r="Z17" s="24">
        <f t="shared" si="7"/>
        <v>0</v>
      </c>
      <c r="AA17" s="27"/>
      <c r="AB17" s="28">
        <f t="shared" ref="AB17:AC17" si="14">IFERROR(V17/J17, 0)</f>
        <v>0</v>
      </c>
      <c r="AC17" s="28">
        <f t="shared" si="14"/>
        <v>0</v>
      </c>
      <c r="AD17" s="28">
        <f t="shared" ref="AD17:AE17" si="15">IFERROR(Z17/O17, 0)</f>
        <v>0</v>
      </c>
      <c r="AE17" s="28">
        <f t="shared" si="15"/>
        <v>0</v>
      </c>
      <c r="AF17" s="28">
        <f t="shared" si="10"/>
        <v>0</v>
      </c>
      <c r="AG17" s="26"/>
      <c r="AH17" s="27"/>
      <c r="AI17" s="27"/>
      <c r="AJ17" s="27"/>
      <c r="AK17" s="27"/>
      <c r="AL17" s="29"/>
      <c r="AM17" s="25">
        <f t="shared" si="11"/>
        <v>0</v>
      </c>
      <c r="AN17" s="26"/>
      <c r="AO17" s="30">
        <f t="shared" si="12"/>
        <v>0</v>
      </c>
    </row>
    <row r="18" spans="1:41" ht="15.75" customHeight="1" x14ac:dyDescent="0.2">
      <c r="A18" s="19"/>
      <c r="B18" s="20"/>
      <c r="C18" s="21"/>
      <c r="D18" s="22"/>
      <c r="E18" s="23">
        <f t="shared" si="0"/>
        <v>0</v>
      </c>
      <c r="F18" s="22"/>
      <c r="G18" s="22"/>
      <c r="H18" s="23">
        <f t="shared" si="1"/>
        <v>0</v>
      </c>
      <c r="I18" s="22"/>
      <c r="J18" s="22"/>
      <c r="K18" s="22"/>
      <c r="L18" s="23">
        <f t="shared" si="2"/>
        <v>0</v>
      </c>
      <c r="M18" s="22"/>
      <c r="N18" s="24">
        <f t="shared" si="3"/>
        <v>0</v>
      </c>
      <c r="O18" s="22"/>
      <c r="P18" s="22"/>
      <c r="Q18" s="23">
        <f t="shared" si="4"/>
        <v>0</v>
      </c>
      <c r="R18" s="22"/>
      <c r="S18" s="24">
        <f t="shared" si="5"/>
        <v>0</v>
      </c>
      <c r="T18" s="24">
        <f t="shared" si="13"/>
        <v>0</v>
      </c>
      <c r="U18" s="25">
        <f t="shared" si="6"/>
        <v>0</v>
      </c>
      <c r="V18" s="26"/>
      <c r="W18" s="27"/>
      <c r="X18" s="27"/>
      <c r="Y18" s="27"/>
      <c r="Z18" s="24">
        <f t="shared" si="7"/>
        <v>0</v>
      </c>
      <c r="AA18" s="27"/>
      <c r="AB18" s="28">
        <f t="shared" ref="AB18:AC18" si="16">IFERROR(V18/J18, 0)</f>
        <v>0</v>
      </c>
      <c r="AC18" s="28">
        <f t="shared" si="16"/>
        <v>0</v>
      </c>
      <c r="AD18" s="28">
        <f t="shared" ref="AD18:AE18" si="17">IFERROR(Z18/O18, 0)</f>
        <v>0</v>
      </c>
      <c r="AE18" s="28">
        <f t="shared" si="17"/>
        <v>0</v>
      </c>
      <c r="AF18" s="28">
        <f t="shared" si="10"/>
        <v>0</v>
      </c>
      <c r="AG18" s="26"/>
      <c r="AH18" s="27"/>
      <c r="AI18" s="27"/>
      <c r="AJ18" s="27"/>
      <c r="AK18" s="27"/>
      <c r="AL18" s="29"/>
      <c r="AM18" s="25">
        <f t="shared" si="11"/>
        <v>0</v>
      </c>
      <c r="AN18" s="26"/>
      <c r="AO18" s="30">
        <f t="shared" si="12"/>
        <v>0</v>
      </c>
    </row>
    <row r="19" spans="1:41" ht="15.75" customHeight="1" x14ac:dyDescent="0.2">
      <c r="A19" s="19"/>
      <c r="B19" s="20"/>
      <c r="C19" s="21"/>
      <c r="D19" s="22"/>
      <c r="E19" s="23">
        <f t="shared" si="0"/>
        <v>0</v>
      </c>
      <c r="F19" s="22"/>
      <c r="G19" s="22"/>
      <c r="H19" s="23">
        <f t="shared" si="1"/>
        <v>0</v>
      </c>
      <c r="I19" s="22"/>
      <c r="J19" s="22"/>
      <c r="K19" s="22"/>
      <c r="L19" s="23">
        <f t="shared" si="2"/>
        <v>0</v>
      </c>
      <c r="M19" s="22"/>
      <c r="N19" s="24">
        <f t="shared" si="3"/>
        <v>0</v>
      </c>
      <c r="O19" s="22"/>
      <c r="P19" s="22"/>
      <c r="Q19" s="23">
        <f t="shared" si="4"/>
        <v>0</v>
      </c>
      <c r="R19" s="22"/>
      <c r="S19" s="24">
        <f t="shared" si="5"/>
        <v>0</v>
      </c>
      <c r="T19" s="24">
        <f t="shared" si="13"/>
        <v>0</v>
      </c>
      <c r="U19" s="25">
        <f t="shared" si="6"/>
        <v>0</v>
      </c>
      <c r="V19" s="26"/>
      <c r="W19" s="27"/>
      <c r="X19" s="27"/>
      <c r="Y19" s="27"/>
      <c r="Z19" s="24">
        <f t="shared" si="7"/>
        <v>0</v>
      </c>
      <c r="AA19" s="27"/>
      <c r="AB19" s="28">
        <f t="shared" ref="AB19:AC19" si="18">IFERROR(V19/J19, 0)</f>
        <v>0</v>
      </c>
      <c r="AC19" s="28">
        <f t="shared" si="18"/>
        <v>0</v>
      </c>
      <c r="AD19" s="28">
        <f t="shared" ref="AD19:AE19" si="19">IFERROR(Z19/O19, 0)</f>
        <v>0</v>
      </c>
      <c r="AE19" s="28">
        <f t="shared" si="19"/>
        <v>0</v>
      </c>
      <c r="AF19" s="28">
        <f t="shared" si="10"/>
        <v>0</v>
      </c>
      <c r="AG19" s="26"/>
      <c r="AH19" s="27"/>
      <c r="AI19" s="27"/>
      <c r="AJ19" s="27"/>
      <c r="AK19" s="27"/>
      <c r="AL19" s="29"/>
      <c r="AM19" s="25">
        <f t="shared" si="11"/>
        <v>0</v>
      </c>
      <c r="AN19" s="26"/>
      <c r="AO19" s="30">
        <f t="shared" si="12"/>
        <v>0</v>
      </c>
    </row>
    <row r="20" spans="1:41" ht="15.75" customHeight="1" x14ac:dyDescent="0.2">
      <c r="A20" s="19"/>
      <c r="B20" s="20"/>
      <c r="C20" s="21"/>
      <c r="D20" s="22"/>
      <c r="E20" s="23">
        <f t="shared" si="0"/>
        <v>0</v>
      </c>
      <c r="F20" s="22"/>
      <c r="G20" s="22"/>
      <c r="H20" s="23">
        <f t="shared" si="1"/>
        <v>0</v>
      </c>
      <c r="I20" s="22"/>
      <c r="J20" s="22"/>
      <c r="K20" s="22"/>
      <c r="L20" s="23">
        <f t="shared" si="2"/>
        <v>0</v>
      </c>
      <c r="M20" s="22"/>
      <c r="N20" s="24">
        <f t="shared" si="3"/>
        <v>0</v>
      </c>
      <c r="O20" s="22"/>
      <c r="P20" s="22"/>
      <c r="Q20" s="23">
        <f t="shared" si="4"/>
        <v>0</v>
      </c>
      <c r="R20" s="22"/>
      <c r="S20" s="24">
        <f t="shared" si="5"/>
        <v>0</v>
      </c>
      <c r="T20" s="24">
        <f t="shared" si="13"/>
        <v>0</v>
      </c>
      <c r="U20" s="25">
        <f t="shared" si="6"/>
        <v>0</v>
      </c>
      <c r="V20" s="26"/>
      <c r="W20" s="27"/>
      <c r="X20" s="27"/>
      <c r="Y20" s="27"/>
      <c r="Z20" s="24">
        <f t="shared" si="7"/>
        <v>0</v>
      </c>
      <c r="AA20" s="27"/>
      <c r="AB20" s="28">
        <f t="shared" ref="AB20:AC20" si="20">IFERROR(V20/J20, 0)</f>
        <v>0</v>
      </c>
      <c r="AC20" s="28">
        <f t="shared" si="20"/>
        <v>0</v>
      </c>
      <c r="AD20" s="28">
        <f t="shared" ref="AD20:AE20" si="21">IFERROR(Z20/O20, 0)</f>
        <v>0</v>
      </c>
      <c r="AE20" s="28">
        <f t="shared" si="21"/>
        <v>0</v>
      </c>
      <c r="AF20" s="28">
        <f t="shared" si="10"/>
        <v>0</v>
      </c>
      <c r="AG20" s="26"/>
      <c r="AH20" s="27"/>
      <c r="AI20" s="27"/>
      <c r="AJ20" s="27"/>
      <c r="AK20" s="27"/>
      <c r="AL20" s="29"/>
      <c r="AM20" s="25">
        <f t="shared" si="11"/>
        <v>0</v>
      </c>
      <c r="AN20" s="26"/>
      <c r="AO20" s="30">
        <f t="shared" si="12"/>
        <v>0</v>
      </c>
    </row>
    <row r="21" spans="1:41" ht="15.75" customHeight="1" x14ac:dyDescent="0.2">
      <c r="A21" s="19"/>
      <c r="B21" s="20"/>
      <c r="C21" s="21"/>
      <c r="D21" s="22"/>
      <c r="E21" s="23">
        <f t="shared" si="0"/>
        <v>0</v>
      </c>
      <c r="F21" s="22"/>
      <c r="G21" s="22"/>
      <c r="H21" s="23">
        <f t="shared" si="1"/>
        <v>0</v>
      </c>
      <c r="I21" s="22"/>
      <c r="J21" s="22"/>
      <c r="K21" s="22"/>
      <c r="L21" s="23">
        <f t="shared" si="2"/>
        <v>0</v>
      </c>
      <c r="M21" s="22"/>
      <c r="N21" s="24">
        <f t="shared" si="3"/>
        <v>0</v>
      </c>
      <c r="O21" s="22"/>
      <c r="P21" s="22"/>
      <c r="Q21" s="23">
        <f t="shared" si="4"/>
        <v>0</v>
      </c>
      <c r="R21" s="22"/>
      <c r="S21" s="24">
        <f t="shared" si="5"/>
        <v>0</v>
      </c>
      <c r="T21" s="24">
        <f t="shared" si="13"/>
        <v>0</v>
      </c>
      <c r="U21" s="25">
        <f t="shared" si="6"/>
        <v>0</v>
      </c>
      <c r="V21" s="26"/>
      <c r="W21" s="27"/>
      <c r="X21" s="27"/>
      <c r="Y21" s="27"/>
      <c r="Z21" s="24">
        <f t="shared" si="7"/>
        <v>0</v>
      </c>
      <c r="AA21" s="27"/>
      <c r="AB21" s="28">
        <f t="shared" ref="AB21:AC21" si="22">IFERROR(V21/J21, 0)</f>
        <v>0</v>
      </c>
      <c r="AC21" s="28">
        <f t="shared" si="22"/>
        <v>0</v>
      </c>
      <c r="AD21" s="28">
        <f t="shared" ref="AD21:AE21" si="23">IFERROR(Z21/O21, 0)</f>
        <v>0</v>
      </c>
      <c r="AE21" s="28">
        <f t="shared" si="23"/>
        <v>0</v>
      </c>
      <c r="AF21" s="28">
        <f t="shared" si="10"/>
        <v>0</v>
      </c>
      <c r="AG21" s="26"/>
      <c r="AH21" s="27"/>
      <c r="AI21" s="27"/>
      <c r="AJ21" s="27"/>
      <c r="AK21" s="27"/>
      <c r="AL21" s="29"/>
      <c r="AM21" s="25">
        <f t="shared" si="11"/>
        <v>0</v>
      </c>
      <c r="AN21" s="26"/>
      <c r="AO21" s="30">
        <f t="shared" si="12"/>
        <v>0</v>
      </c>
    </row>
    <row r="22" spans="1:41" ht="15.75" customHeight="1" x14ac:dyDescent="0.2">
      <c r="A22" s="19"/>
      <c r="B22" s="20"/>
      <c r="C22" s="21"/>
      <c r="D22" s="22"/>
      <c r="E22" s="23">
        <f t="shared" si="0"/>
        <v>0</v>
      </c>
      <c r="F22" s="22"/>
      <c r="G22" s="22"/>
      <c r="H22" s="23">
        <f t="shared" si="1"/>
        <v>0</v>
      </c>
      <c r="I22" s="22"/>
      <c r="J22" s="22"/>
      <c r="K22" s="22"/>
      <c r="L22" s="23">
        <f t="shared" si="2"/>
        <v>0</v>
      </c>
      <c r="M22" s="22"/>
      <c r="N22" s="24">
        <f t="shared" si="3"/>
        <v>0</v>
      </c>
      <c r="O22" s="22"/>
      <c r="P22" s="22"/>
      <c r="Q22" s="23">
        <f t="shared" si="4"/>
        <v>0</v>
      </c>
      <c r="R22" s="22"/>
      <c r="S22" s="24">
        <f t="shared" si="5"/>
        <v>0</v>
      </c>
      <c r="T22" s="24">
        <f t="shared" si="13"/>
        <v>0</v>
      </c>
      <c r="U22" s="25">
        <f t="shared" si="6"/>
        <v>0</v>
      </c>
      <c r="V22" s="26"/>
      <c r="W22" s="27"/>
      <c r="X22" s="27"/>
      <c r="Y22" s="27"/>
      <c r="Z22" s="24">
        <f t="shared" si="7"/>
        <v>0</v>
      </c>
      <c r="AA22" s="27"/>
      <c r="AB22" s="28">
        <f t="shared" ref="AB22:AC22" si="24">IFERROR(V22/J22, 0)</f>
        <v>0</v>
      </c>
      <c r="AC22" s="28">
        <f t="shared" si="24"/>
        <v>0</v>
      </c>
      <c r="AD22" s="28">
        <f t="shared" ref="AD22:AE22" si="25">IFERROR(Z22/O22, 0)</f>
        <v>0</v>
      </c>
      <c r="AE22" s="28">
        <f t="shared" si="25"/>
        <v>0</v>
      </c>
      <c r="AF22" s="28">
        <f t="shared" si="10"/>
        <v>0</v>
      </c>
      <c r="AG22" s="26"/>
      <c r="AH22" s="27"/>
      <c r="AI22" s="27"/>
      <c r="AJ22" s="27"/>
      <c r="AK22" s="27"/>
      <c r="AL22" s="29"/>
      <c r="AM22" s="25">
        <f t="shared" si="11"/>
        <v>0</v>
      </c>
      <c r="AN22" s="26"/>
      <c r="AO22" s="30">
        <f t="shared" si="12"/>
        <v>0</v>
      </c>
    </row>
    <row r="23" spans="1:41" ht="15.75" customHeight="1" x14ac:dyDescent="0.2">
      <c r="A23" s="19"/>
      <c r="B23" s="20"/>
      <c r="C23" s="21"/>
      <c r="D23" s="22"/>
      <c r="E23" s="23">
        <f t="shared" si="0"/>
        <v>0</v>
      </c>
      <c r="F23" s="22"/>
      <c r="G23" s="22"/>
      <c r="H23" s="23">
        <f t="shared" si="1"/>
        <v>0</v>
      </c>
      <c r="I23" s="22"/>
      <c r="J23" s="22"/>
      <c r="K23" s="22"/>
      <c r="L23" s="23">
        <f t="shared" si="2"/>
        <v>0</v>
      </c>
      <c r="M23" s="22"/>
      <c r="N23" s="24">
        <f t="shared" si="3"/>
        <v>0</v>
      </c>
      <c r="O23" s="22"/>
      <c r="P23" s="22"/>
      <c r="Q23" s="23">
        <f t="shared" si="4"/>
        <v>0</v>
      </c>
      <c r="R23" s="22"/>
      <c r="S23" s="24">
        <f t="shared" si="5"/>
        <v>0</v>
      </c>
      <c r="T23" s="24">
        <f t="shared" si="13"/>
        <v>0</v>
      </c>
      <c r="U23" s="25">
        <f t="shared" si="6"/>
        <v>0</v>
      </c>
      <c r="V23" s="26"/>
      <c r="W23" s="27"/>
      <c r="X23" s="27"/>
      <c r="Y23" s="27"/>
      <c r="Z23" s="24">
        <f t="shared" si="7"/>
        <v>0</v>
      </c>
      <c r="AA23" s="27"/>
      <c r="AB23" s="28">
        <f t="shared" ref="AB23:AC23" si="26">IFERROR(V23/J23, 0)</f>
        <v>0</v>
      </c>
      <c r="AC23" s="28">
        <f t="shared" si="26"/>
        <v>0</v>
      </c>
      <c r="AD23" s="28">
        <f t="shared" ref="AD23:AE23" si="27">IFERROR(Z23/O23, 0)</f>
        <v>0</v>
      </c>
      <c r="AE23" s="28">
        <f t="shared" si="27"/>
        <v>0</v>
      </c>
      <c r="AF23" s="28">
        <f t="shared" si="10"/>
        <v>0</v>
      </c>
      <c r="AG23" s="26"/>
      <c r="AH23" s="27"/>
      <c r="AI23" s="27"/>
      <c r="AJ23" s="27"/>
      <c r="AK23" s="27"/>
      <c r="AL23" s="29"/>
      <c r="AM23" s="25">
        <f t="shared" si="11"/>
        <v>0</v>
      </c>
      <c r="AN23" s="26"/>
      <c r="AO23" s="30">
        <f t="shared" si="12"/>
        <v>0</v>
      </c>
    </row>
    <row r="24" spans="1:41" ht="15.75" customHeight="1" x14ac:dyDescent="0.2">
      <c r="A24" s="19"/>
      <c r="B24" s="20"/>
      <c r="C24" s="21"/>
      <c r="D24" s="22"/>
      <c r="E24" s="23">
        <f t="shared" si="0"/>
        <v>0</v>
      </c>
      <c r="F24" s="22"/>
      <c r="G24" s="22"/>
      <c r="H24" s="23">
        <f t="shared" si="1"/>
        <v>0</v>
      </c>
      <c r="I24" s="22"/>
      <c r="J24" s="22"/>
      <c r="K24" s="22"/>
      <c r="L24" s="23">
        <f t="shared" si="2"/>
        <v>0</v>
      </c>
      <c r="M24" s="22"/>
      <c r="N24" s="24">
        <f t="shared" si="3"/>
        <v>0</v>
      </c>
      <c r="O24" s="22"/>
      <c r="P24" s="22"/>
      <c r="Q24" s="23">
        <f t="shared" si="4"/>
        <v>0</v>
      </c>
      <c r="R24" s="22"/>
      <c r="S24" s="24">
        <f t="shared" si="5"/>
        <v>0</v>
      </c>
      <c r="T24" s="24">
        <f t="shared" si="13"/>
        <v>0</v>
      </c>
      <c r="U24" s="25">
        <f t="shared" si="6"/>
        <v>0</v>
      </c>
      <c r="V24" s="26"/>
      <c r="W24" s="27"/>
      <c r="X24" s="27"/>
      <c r="Y24" s="27"/>
      <c r="Z24" s="24">
        <f t="shared" si="7"/>
        <v>0</v>
      </c>
      <c r="AA24" s="27"/>
      <c r="AB24" s="28">
        <f t="shared" ref="AB24:AC24" si="28">IFERROR(V24/J24, 0)</f>
        <v>0</v>
      </c>
      <c r="AC24" s="28">
        <f t="shared" si="28"/>
        <v>0</v>
      </c>
      <c r="AD24" s="28">
        <f t="shared" ref="AD24:AE24" si="29">IFERROR(Z24/O24, 0)</f>
        <v>0</v>
      </c>
      <c r="AE24" s="28">
        <f t="shared" si="29"/>
        <v>0</v>
      </c>
      <c r="AF24" s="28">
        <f t="shared" si="10"/>
        <v>0</v>
      </c>
      <c r="AG24" s="26"/>
      <c r="AH24" s="27"/>
      <c r="AI24" s="27"/>
      <c r="AJ24" s="27"/>
      <c r="AK24" s="27"/>
      <c r="AL24" s="29"/>
      <c r="AM24" s="25">
        <f t="shared" si="11"/>
        <v>0</v>
      </c>
      <c r="AN24" s="26"/>
      <c r="AO24" s="30">
        <f t="shared" si="12"/>
        <v>0</v>
      </c>
    </row>
    <row r="25" spans="1:41" ht="15.75" customHeight="1" x14ac:dyDescent="0.2">
      <c r="A25" s="19"/>
      <c r="B25" s="20"/>
      <c r="C25" s="21"/>
      <c r="D25" s="22"/>
      <c r="E25" s="23">
        <f t="shared" si="0"/>
        <v>0</v>
      </c>
      <c r="F25" s="22"/>
      <c r="G25" s="22"/>
      <c r="H25" s="23">
        <f t="shared" si="1"/>
        <v>0</v>
      </c>
      <c r="I25" s="22"/>
      <c r="J25" s="22"/>
      <c r="K25" s="22"/>
      <c r="L25" s="23">
        <f t="shared" si="2"/>
        <v>0</v>
      </c>
      <c r="M25" s="22"/>
      <c r="N25" s="24">
        <f t="shared" si="3"/>
        <v>0</v>
      </c>
      <c r="O25" s="22"/>
      <c r="P25" s="22"/>
      <c r="Q25" s="23">
        <f t="shared" si="4"/>
        <v>0</v>
      </c>
      <c r="R25" s="22"/>
      <c r="S25" s="24">
        <f t="shared" si="5"/>
        <v>0</v>
      </c>
      <c r="T25" s="24">
        <f t="shared" si="13"/>
        <v>0</v>
      </c>
      <c r="U25" s="25">
        <f t="shared" si="6"/>
        <v>0</v>
      </c>
      <c r="V25" s="26"/>
      <c r="W25" s="27"/>
      <c r="X25" s="27"/>
      <c r="Y25" s="27"/>
      <c r="Z25" s="24">
        <f t="shared" si="7"/>
        <v>0</v>
      </c>
      <c r="AA25" s="27"/>
      <c r="AB25" s="28">
        <f t="shared" ref="AB25:AC25" si="30">IFERROR(V25/J25, 0)</f>
        <v>0</v>
      </c>
      <c r="AC25" s="28">
        <f t="shared" si="30"/>
        <v>0</v>
      </c>
      <c r="AD25" s="28">
        <f t="shared" ref="AD25:AE25" si="31">IFERROR(Z25/O25, 0)</f>
        <v>0</v>
      </c>
      <c r="AE25" s="28">
        <f t="shared" si="31"/>
        <v>0</v>
      </c>
      <c r="AF25" s="28">
        <f t="shared" si="10"/>
        <v>0</v>
      </c>
      <c r="AG25" s="26"/>
      <c r="AH25" s="27"/>
      <c r="AI25" s="27"/>
      <c r="AJ25" s="27"/>
      <c r="AK25" s="27"/>
      <c r="AL25" s="29"/>
      <c r="AM25" s="25">
        <f t="shared" si="11"/>
        <v>0</v>
      </c>
      <c r="AN25" s="26"/>
      <c r="AO25" s="30">
        <f t="shared" si="12"/>
        <v>0</v>
      </c>
    </row>
    <row r="26" spans="1:41" ht="15.75" customHeight="1" x14ac:dyDescent="0.2">
      <c r="A26" s="19"/>
      <c r="B26" s="20"/>
      <c r="C26" s="21"/>
      <c r="D26" s="22"/>
      <c r="E26" s="23">
        <f t="shared" si="0"/>
        <v>0</v>
      </c>
      <c r="F26" s="22"/>
      <c r="G26" s="22"/>
      <c r="H26" s="23">
        <f t="shared" si="1"/>
        <v>0</v>
      </c>
      <c r="I26" s="22"/>
      <c r="J26" s="22"/>
      <c r="K26" s="22"/>
      <c r="L26" s="23">
        <f t="shared" si="2"/>
        <v>0</v>
      </c>
      <c r="M26" s="22"/>
      <c r="N26" s="24">
        <f t="shared" si="3"/>
        <v>0</v>
      </c>
      <c r="O26" s="22"/>
      <c r="P26" s="22"/>
      <c r="Q26" s="23">
        <f t="shared" si="4"/>
        <v>0</v>
      </c>
      <c r="R26" s="22"/>
      <c r="S26" s="24">
        <f t="shared" si="5"/>
        <v>0</v>
      </c>
      <c r="T26" s="24">
        <f t="shared" si="13"/>
        <v>0</v>
      </c>
      <c r="U26" s="25">
        <f t="shared" si="6"/>
        <v>0</v>
      </c>
      <c r="V26" s="26"/>
      <c r="W26" s="27"/>
      <c r="X26" s="27"/>
      <c r="Y26" s="27"/>
      <c r="Z26" s="24">
        <f t="shared" si="7"/>
        <v>0</v>
      </c>
      <c r="AA26" s="27"/>
      <c r="AB26" s="28">
        <f t="shared" ref="AB26:AC26" si="32">IFERROR(V26/J26, 0)</f>
        <v>0</v>
      </c>
      <c r="AC26" s="28">
        <f t="shared" si="32"/>
        <v>0</v>
      </c>
      <c r="AD26" s="28">
        <f t="shared" ref="AD26:AE26" si="33">IFERROR(Z26/O26, 0)</f>
        <v>0</v>
      </c>
      <c r="AE26" s="28">
        <f t="shared" si="33"/>
        <v>0</v>
      </c>
      <c r="AF26" s="28">
        <f t="shared" si="10"/>
        <v>0</v>
      </c>
      <c r="AG26" s="26"/>
      <c r="AH26" s="27"/>
      <c r="AI26" s="27"/>
      <c r="AJ26" s="27"/>
      <c r="AK26" s="27"/>
      <c r="AL26" s="29"/>
      <c r="AM26" s="25">
        <f t="shared" si="11"/>
        <v>0</v>
      </c>
      <c r="AN26" s="26"/>
      <c r="AO26" s="30">
        <f t="shared" si="12"/>
        <v>0</v>
      </c>
    </row>
    <row r="27" spans="1:41" ht="15.75" customHeight="1" x14ac:dyDescent="0.2">
      <c r="A27" s="19"/>
      <c r="B27" s="20"/>
      <c r="C27" s="21"/>
      <c r="D27" s="22"/>
      <c r="E27" s="23">
        <f t="shared" si="0"/>
        <v>0</v>
      </c>
      <c r="F27" s="22"/>
      <c r="G27" s="22"/>
      <c r="H27" s="23">
        <f t="shared" si="1"/>
        <v>0</v>
      </c>
      <c r="I27" s="22"/>
      <c r="J27" s="22"/>
      <c r="K27" s="22"/>
      <c r="L27" s="23">
        <f t="shared" si="2"/>
        <v>0</v>
      </c>
      <c r="M27" s="22"/>
      <c r="N27" s="24">
        <f t="shared" si="3"/>
        <v>0</v>
      </c>
      <c r="O27" s="22"/>
      <c r="P27" s="22"/>
      <c r="Q27" s="23">
        <f t="shared" si="4"/>
        <v>0</v>
      </c>
      <c r="R27" s="22"/>
      <c r="S27" s="24">
        <f t="shared" si="5"/>
        <v>0</v>
      </c>
      <c r="T27" s="24">
        <f t="shared" si="13"/>
        <v>0</v>
      </c>
      <c r="U27" s="25">
        <f t="shared" si="6"/>
        <v>0</v>
      </c>
      <c r="V27" s="26"/>
      <c r="W27" s="27"/>
      <c r="X27" s="27"/>
      <c r="Y27" s="27"/>
      <c r="Z27" s="24">
        <f t="shared" si="7"/>
        <v>0</v>
      </c>
      <c r="AA27" s="27"/>
      <c r="AB27" s="28">
        <f t="shared" ref="AB27:AC27" si="34">IFERROR(V27/J27, 0)</f>
        <v>0</v>
      </c>
      <c r="AC27" s="28">
        <f t="shared" si="34"/>
        <v>0</v>
      </c>
      <c r="AD27" s="28">
        <f t="shared" ref="AD27:AE27" si="35">IFERROR(Z27/O27, 0)</f>
        <v>0</v>
      </c>
      <c r="AE27" s="28">
        <f t="shared" si="35"/>
        <v>0</v>
      </c>
      <c r="AF27" s="28">
        <f t="shared" si="10"/>
        <v>0</v>
      </c>
      <c r="AG27" s="26"/>
      <c r="AH27" s="27"/>
      <c r="AI27" s="27"/>
      <c r="AJ27" s="27"/>
      <c r="AK27" s="27"/>
      <c r="AL27" s="29"/>
      <c r="AM27" s="25">
        <f t="shared" si="11"/>
        <v>0</v>
      </c>
      <c r="AN27" s="26"/>
      <c r="AO27" s="30">
        <f t="shared" si="12"/>
        <v>0</v>
      </c>
    </row>
    <row r="28" spans="1:41" ht="15.75" customHeight="1" x14ac:dyDescent="0.2">
      <c r="A28" s="19"/>
      <c r="B28" s="20"/>
      <c r="C28" s="21"/>
      <c r="D28" s="22"/>
      <c r="E28" s="23">
        <f t="shared" si="0"/>
        <v>0</v>
      </c>
      <c r="F28" s="22"/>
      <c r="G28" s="22"/>
      <c r="H28" s="23">
        <f t="shared" si="1"/>
        <v>0</v>
      </c>
      <c r="I28" s="22"/>
      <c r="J28" s="22"/>
      <c r="K28" s="22"/>
      <c r="L28" s="23">
        <f t="shared" si="2"/>
        <v>0</v>
      </c>
      <c r="M28" s="22"/>
      <c r="N28" s="24">
        <f t="shared" si="3"/>
        <v>0</v>
      </c>
      <c r="O28" s="22"/>
      <c r="P28" s="22"/>
      <c r="Q28" s="23">
        <f t="shared" si="4"/>
        <v>0</v>
      </c>
      <c r="R28" s="22"/>
      <c r="S28" s="24">
        <f t="shared" si="5"/>
        <v>0</v>
      </c>
      <c r="T28" s="24">
        <f t="shared" si="13"/>
        <v>0</v>
      </c>
      <c r="U28" s="25">
        <f t="shared" si="6"/>
        <v>0</v>
      </c>
      <c r="V28" s="26"/>
      <c r="W28" s="27"/>
      <c r="X28" s="27"/>
      <c r="Y28" s="27"/>
      <c r="Z28" s="24">
        <f t="shared" si="7"/>
        <v>0</v>
      </c>
      <c r="AA28" s="27"/>
      <c r="AB28" s="28">
        <f t="shared" ref="AB28:AC28" si="36">IFERROR(V28/J28, 0)</f>
        <v>0</v>
      </c>
      <c r="AC28" s="28">
        <f t="shared" si="36"/>
        <v>0</v>
      </c>
      <c r="AD28" s="28">
        <f t="shared" ref="AD28:AE28" si="37">IFERROR(Z28/O28, 0)</f>
        <v>0</v>
      </c>
      <c r="AE28" s="28">
        <f t="shared" si="37"/>
        <v>0</v>
      </c>
      <c r="AF28" s="28">
        <f t="shared" si="10"/>
        <v>0</v>
      </c>
      <c r="AG28" s="26"/>
      <c r="AH28" s="27"/>
      <c r="AI28" s="27"/>
      <c r="AJ28" s="27"/>
      <c r="AK28" s="27"/>
      <c r="AL28" s="29"/>
      <c r="AM28" s="25">
        <f t="shared" si="11"/>
        <v>0</v>
      </c>
      <c r="AN28" s="26"/>
      <c r="AO28" s="30">
        <f t="shared" si="12"/>
        <v>0</v>
      </c>
    </row>
    <row r="29" spans="1:41" ht="15.75" customHeight="1" x14ac:dyDescent="0.2">
      <c r="A29" s="19"/>
      <c r="B29" s="20"/>
      <c r="C29" s="21"/>
      <c r="D29" s="22"/>
      <c r="E29" s="23">
        <f t="shared" si="0"/>
        <v>0</v>
      </c>
      <c r="F29" s="22"/>
      <c r="G29" s="22"/>
      <c r="H29" s="23">
        <f t="shared" si="1"/>
        <v>0</v>
      </c>
      <c r="I29" s="22"/>
      <c r="J29" s="22"/>
      <c r="K29" s="22"/>
      <c r="L29" s="23">
        <f t="shared" si="2"/>
        <v>0</v>
      </c>
      <c r="M29" s="22"/>
      <c r="N29" s="24">
        <f t="shared" si="3"/>
        <v>0</v>
      </c>
      <c r="O29" s="22"/>
      <c r="P29" s="22"/>
      <c r="Q29" s="23">
        <f t="shared" si="4"/>
        <v>0</v>
      </c>
      <c r="R29" s="22"/>
      <c r="S29" s="24">
        <f t="shared" si="5"/>
        <v>0</v>
      </c>
      <c r="T29" s="24">
        <f t="shared" si="13"/>
        <v>0</v>
      </c>
      <c r="U29" s="25">
        <f t="shared" si="6"/>
        <v>0</v>
      </c>
      <c r="V29" s="26"/>
      <c r="W29" s="27"/>
      <c r="X29" s="27"/>
      <c r="Y29" s="27"/>
      <c r="Z29" s="24">
        <f t="shared" si="7"/>
        <v>0</v>
      </c>
      <c r="AA29" s="27"/>
      <c r="AB29" s="28">
        <f t="shared" ref="AB29:AC29" si="38">IFERROR(V29/J29, 0)</f>
        <v>0</v>
      </c>
      <c r="AC29" s="28">
        <f t="shared" si="38"/>
        <v>0</v>
      </c>
      <c r="AD29" s="28">
        <f t="shared" ref="AD29:AE29" si="39">IFERROR(Z29/O29, 0)</f>
        <v>0</v>
      </c>
      <c r="AE29" s="28">
        <f t="shared" si="39"/>
        <v>0</v>
      </c>
      <c r="AF29" s="28">
        <f t="shared" si="10"/>
        <v>0</v>
      </c>
      <c r="AG29" s="26"/>
      <c r="AH29" s="27"/>
      <c r="AI29" s="27"/>
      <c r="AJ29" s="27"/>
      <c r="AK29" s="27"/>
      <c r="AL29" s="29"/>
      <c r="AM29" s="25">
        <f t="shared" si="11"/>
        <v>0</v>
      </c>
      <c r="AN29" s="26"/>
      <c r="AO29" s="30">
        <f t="shared" si="12"/>
        <v>0</v>
      </c>
    </row>
    <row r="30" spans="1:41" ht="15.75" customHeight="1" x14ac:dyDescent="0.2">
      <c r="A30" s="19"/>
      <c r="B30" s="20"/>
      <c r="C30" s="21"/>
      <c r="D30" s="22"/>
      <c r="E30" s="23">
        <f t="shared" si="0"/>
        <v>0</v>
      </c>
      <c r="F30" s="22"/>
      <c r="G30" s="22"/>
      <c r="H30" s="23">
        <f t="shared" si="1"/>
        <v>0</v>
      </c>
      <c r="I30" s="22"/>
      <c r="J30" s="22"/>
      <c r="K30" s="22"/>
      <c r="L30" s="23">
        <f t="shared" si="2"/>
        <v>0</v>
      </c>
      <c r="M30" s="22"/>
      <c r="N30" s="24">
        <f t="shared" si="3"/>
        <v>0</v>
      </c>
      <c r="O30" s="22"/>
      <c r="P30" s="22"/>
      <c r="Q30" s="23">
        <f t="shared" si="4"/>
        <v>0</v>
      </c>
      <c r="R30" s="22"/>
      <c r="S30" s="24">
        <f t="shared" si="5"/>
        <v>0</v>
      </c>
      <c r="T30" s="24">
        <f t="shared" si="13"/>
        <v>0</v>
      </c>
      <c r="U30" s="25">
        <f t="shared" si="6"/>
        <v>0</v>
      </c>
      <c r="V30" s="26"/>
      <c r="W30" s="27"/>
      <c r="X30" s="27"/>
      <c r="Y30" s="27"/>
      <c r="Z30" s="24">
        <f t="shared" si="7"/>
        <v>0</v>
      </c>
      <c r="AA30" s="27"/>
      <c r="AB30" s="28">
        <f t="shared" ref="AB30:AC30" si="40">IFERROR(V30/J30, 0)</f>
        <v>0</v>
      </c>
      <c r="AC30" s="28">
        <f t="shared" si="40"/>
        <v>0</v>
      </c>
      <c r="AD30" s="28">
        <f t="shared" ref="AD30:AE30" si="41">IFERROR(Z30/O30, 0)</f>
        <v>0</v>
      </c>
      <c r="AE30" s="28">
        <f t="shared" si="41"/>
        <v>0</v>
      </c>
      <c r="AF30" s="28">
        <f t="shared" si="10"/>
        <v>0</v>
      </c>
      <c r="AG30" s="26"/>
      <c r="AH30" s="27"/>
      <c r="AI30" s="27"/>
      <c r="AJ30" s="27"/>
      <c r="AK30" s="27"/>
      <c r="AL30" s="29"/>
      <c r="AM30" s="25">
        <f t="shared" si="11"/>
        <v>0</v>
      </c>
      <c r="AN30" s="26"/>
      <c r="AO30" s="30">
        <f t="shared" si="12"/>
        <v>0</v>
      </c>
    </row>
    <row r="31" spans="1:41" ht="15.75" customHeight="1" x14ac:dyDescent="0.2">
      <c r="A31" s="19"/>
      <c r="B31" s="20"/>
      <c r="C31" s="21"/>
      <c r="D31" s="22"/>
      <c r="E31" s="23">
        <f t="shared" si="0"/>
        <v>0</v>
      </c>
      <c r="F31" s="22"/>
      <c r="G31" s="22"/>
      <c r="H31" s="23">
        <f t="shared" si="1"/>
        <v>0</v>
      </c>
      <c r="I31" s="22"/>
      <c r="J31" s="22"/>
      <c r="K31" s="22"/>
      <c r="L31" s="23">
        <f t="shared" si="2"/>
        <v>0</v>
      </c>
      <c r="M31" s="22"/>
      <c r="N31" s="24">
        <f t="shared" si="3"/>
        <v>0</v>
      </c>
      <c r="O31" s="22"/>
      <c r="P31" s="22"/>
      <c r="Q31" s="23">
        <f t="shared" si="4"/>
        <v>0</v>
      </c>
      <c r="R31" s="22"/>
      <c r="S31" s="24">
        <f t="shared" si="5"/>
        <v>0</v>
      </c>
      <c r="T31" s="24">
        <f t="shared" si="13"/>
        <v>0</v>
      </c>
      <c r="U31" s="25">
        <f t="shared" si="6"/>
        <v>0</v>
      </c>
      <c r="V31" s="26"/>
      <c r="W31" s="27"/>
      <c r="X31" s="27"/>
      <c r="Y31" s="27"/>
      <c r="Z31" s="24">
        <f t="shared" si="7"/>
        <v>0</v>
      </c>
      <c r="AA31" s="27"/>
      <c r="AB31" s="28">
        <f t="shared" ref="AB31:AC31" si="42">IFERROR(V31/J31, 0)</f>
        <v>0</v>
      </c>
      <c r="AC31" s="28">
        <f t="shared" si="42"/>
        <v>0</v>
      </c>
      <c r="AD31" s="28">
        <f t="shared" ref="AD31:AE31" si="43">IFERROR(Z31/O31, 0)</f>
        <v>0</v>
      </c>
      <c r="AE31" s="28">
        <f t="shared" si="43"/>
        <v>0</v>
      </c>
      <c r="AF31" s="28">
        <f t="shared" si="10"/>
        <v>0</v>
      </c>
      <c r="AG31" s="26"/>
      <c r="AH31" s="27"/>
      <c r="AI31" s="27"/>
      <c r="AJ31" s="27"/>
      <c r="AK31" s="27"/>
      <c r="AL31" s="29"/>
      <c r="AM31" s="25">
        <f t="shared" si="11"/>
        <v>0</v>
      </c>
      <c r="AN31" s="26"/>
      <c r="AO31" s="30">
        <f t="shared" si="12"/>
        <v>0</v>
      </c>
    </row>
    <row r="32" spans="1:41" ht="15.75" customHeight="1" x14ac:dyDescent="0.2">
      <c r="A32" s="19"/>
      <c r="B32" s="20"/>
      <c r="C32" s="21"/>
      <c r="D32" s="22"/>
      <c r="E32" s="23">
        <f t="shared" si="0"/>
        <v>0</v>
      </c>
      <c r="F32" s="22"/>
      <c r="G32" s="22"/>
      <c r="H32" s="23">
        <f t="shared" si="1"/>
        <v>0</v>
      </c>
      <c r="I32" s="22"/>
      <c r="J32" s="22"/>
      <c r="K32" s="22"/>
      <c r="L32" s="23">
        <f t="shared" si="2"/>
        <v>0</v>
      </c>
      <c r="M32" s="22"/>
      <c r="N32" s="24">
        <f t="shared" si="3"/>
        <v>0</v>
      </c>
      <c r="O32" s="22"/>
      <c r="P32" s="22"/>
      <c r="Q32" s="23">
        <f t="shared" si="4"/>
        <v>0</v>
      </c>
      <c r="R32" s="22"/>
      <c r="S32" s="24">
        <f t="shared" si="5"/>
        <v>0</v>
      </c>
      <c r="T32" s="24">
        <f t="shared" si="13"/>
        <v>0</v>
      </c>
      <c r="U32" s="25">
        <f t="shared" si="6"/>
        <v>0</v>
      </c>
      <c r="V32" s="26"/>
      <c r="W32" s="27"/>
      <c r="X32" s="27"/>
      <c r="Y32" s="27"/>
      <c r="Z32" s="24">
        <f t="shared" si="7"/>
        <v>0</v>
      </c>
      <c r="AA32" s="27"/>
      <c r="AB32" s="28">
        <f t="shared" ref="AB32:AC32" si="44">IFERROR(V32/J32, 0)</f>
        <v>0</v>
      </c>
      <c r="AC32" s="28">
        <f t="shared" si="44"/>
        <v>0</v>
      </c>
      <c r="AD32" s="28">
        <f t="shared" ref="AD32:AE32" si="45">IFERROR(Z32/O32, 0)</f>
        <v>0</v>
      </c>
      <c r="AE32" s="28">
        <f t="shared" si="45"/>
        <v>0</v>
      </c>
      <c r="AF32" s="28">
        <f t="shared" si="10"/>
        <v>0</v>
      </c>
      <c r="AG32" s="26"/>
      <c r="AH32" s="27"/>
      <c r="AI32" s="27"/>
      <c r="AJ32" s="27"/>
      <c r="AK32" s="27"/>
      <c r="AL32" s="29"/>
      <c r="AM32" s="25">
        <f t="shared" si="11"/>
        <v>0</v>
      </c>
      <c r="AN32" s="26"/>
      <c r="AO32" s="30">
        <f t="shared" si="12"/>
        <v>0</v>
      </c>
    </row>
    <row r="33" spans="1:41" ht="15.75" customHeight="1" x14ac:dyDescent="0.2">
      <c r="A33" s="19"/>
      <c r="B33" s="20"/>
      <c r="C33" s="21"/>
      <c r="D33" s="22"/>
      <c r="E33" s="23">
        <f t="shared" si="0"/>
        <v>0</v>
      </c>
      <c r="F33" s="22"/>
      <c r="G33" s="22"/>
      <c r="H33" s="23">
        <f t="shared" si="1"/>
        <v>0</v>
      </c>
      <c r="I33" s="22"/>
      <c r="J33" s="22"/>
      <c r="K33" s="22"/>
      <c r="L33" s="23">
        <f t="shared" si="2"/>
        <v>0</v>
      </c>
      <c r="M33" s="22"/>
      <c r="N33" s="24">
        <f t="shared" si="3"/>
        <v>0</v>
      </c>
      <c r="O33" s="22"/>
      <c r="P33" s="22"/>
      <c r="Q33" s="23">
        <f t="shared" si="4"/>
        <v>0</v>
      </c>
      <c r="R33" s="22"/>
      <c r="S33" s="24">
        <f t="shared" si="5"/>
        <v>0</v>
      </c>
      <c r="T33" s="24">
        <f t="shared" si="13"/>
        <v>0</v>
      </c>
      <c r="U33" s="25">
        <f t="shared" si="6"/>
        <v>0</v>
      </c>
      <c r="V33" s="26"/>
      <c r="W33" s="27"/>
      <c r="X33" s="27"/>
      <c r="Y33" s="27"/>
      <c r="Z33" s="24">
        <f t="shared" si="7"/>
        <v>0</v>
      </c>
      <c r="AA33" s="27"/>
      <c r="AB33" s="28">
        <f t="shared" ref="AB33:AC33" si="46">IFERROR(V33/J33, 0)</f>
        <v>0</v>
      </c>
      <c r="AC33" s="28">
        <f t="shared" si="46"/>
        <v>0</v>
      </c>
      <c r="AD33" s="28">
        <f t="shared" ref="AD33:AE33" si="47">IFERROR(Z33/O33, 0)</f>
        <v>0</v>
      </c>
      <c r="AE33" s="28">
        <f t="shared" si="47"/>
        <v>0</v>
      </c>
      <c r="AF33" s="28">
        <f t="shared" si="10"/>
        <v>0</v>
      </c>
      <c r="AG33" s="26"/>
      <c r="AH33" s="27"/>
      <c r="AI33" s="27"/>
      <c r="AJ33" s="27"/>
      <c r="AK33" s="27"/>
      <c r="AL33" s="29"/>
      <c r="AM33" s="25">
        <f t="shared" si="11"/>
        <v>0</v>
      </c>
      <c r="AN33" s="26"/>
      <c r="AO33" s="30">
        <f t="shared" si="12"/>
        <v>0</v>
      </c>
    </row>
    <row r="34" spans="1:41" ht="15.75" customHeight="1" x14ac:dyDescent="0.2">
      <c r="A34" s="19"/>
      <c r="B34" s="31"/>
      <c r="C34" s="26"/>
      <c r="D34" s="27"/>
      <c r="E34" s="23">
        <f t="shared" si="0"/>
        <v>0</v>
      </c>
      <c r="F34" s="27"/>
      <c r="G34" s="27"/>
      <c r="H34" s="23">
        <f t="shared" si="1"/>
        <v>0</v>
      </c>
      <c r="I34" s="27"/>
      <c r="J34" s="22"/>
      <c r="K34" s="22"/>
      <c r="L34" s="23">
        <f t="shared" si="2"/>
        <v>0</v>
      </c>
      <c r="M34" s="22"/>
      <c r="N34" s="24">
        <f t="shared" si="3"/>
        <v>0</v>
      </c>
      <c r="O34" s="22"/>
      <c r="P34" s="22"/>
      <c r="Q34" s="23">
        <f t="shared" si="4"/>
        <v>0</v>
      </c>
      <c r="R34" s="22"/>
      <c r="S34" s="24">
        <f t="shared" si="5"/>
        <v>0</v>
      </c>
      <c r="T34" s="24">
        <f t="shared" si="13"/>
        <v>0</v>
      </c>
      <c r="U34" s="25">
        <f t="shared" si="6"/>
        <v>0</v>
      </c>
      <c r="V34" s="26"/>
      <c r="W34" s="27"/>
      <c r="X34" s="27"/>
      <c r="Y34" s="27"/>
      <c r="Z34" s="24">
        <f t="shared" si="7"/>
        <v>0</v>
      </c>
      <c r="AA34" s="27"/>
      <c r="AB34" s="28">
        <f t="shared" ref="AB34:AC34" si="48">IFERROR(V34/J34, 0)</f>
        <v>0</v>
      </c>
      <c r="AC34" s="28">
        <f t="shared" si="48"/>
        <v>0</v>
      </c>
      <c r="AD34" s="28">
        <f t="shared" ref="AD34:AE34" si="49">IFERROR(Z34/O34, 0)</f>
        <v>0</v>
      </c>
      <c r="AE34" s="28">
        <f t="shared" si="49"/>
        <v>0</v>
      </c>
      <c r="AF34" s="28">
        <f t="shared" si="10"/>
        <v>0</v>
      </c>
      <c r="AG34" s="26"/>
      <c r="AH34" s="27"/>
      <c r="AI34" s="27"/>
      <c r="AJ34" s="27"/>
      <c r="AK34" s="27"/>
      <c r="AL34" s="29"/>
      <c r="AM34" s="25">
        <f t="shared" si="11"/>
        <v>0</v>
      </c>
      <c r="AN34" s="26"/>
      <c r="AO34" s="30">
        <f t="shared" si="12"/>
        <v>0</v>
      </c>
    </row>
    <row r="35" spans="1:41" ht="15.75" customHeight="1" x14ac:dyDescent="0.2">
      <c r="A35" s="32"/>
      <c r="B35" s="33"/>
      <c r="C35" s="34"/>
      <c r="D35" s="35"/>
      <c r="E35" s="36">
        <f>SUM(C35:D35)</f>
        <v>0</v>
      </c>
      <c r="F35" s="35"/>
      <c r="G35" s="35"/>
      <c r="H35" s="36">
        <f t="shared" si="1"/>
        <v>0</v>
      </c>
      <c r="I35" s="35"/>
      <c r="J35" s="35"/>
      <c r="K35" s="35"/>
      <c r="L35" s="36">
        <f t="shared" si="2"/>
        <v>0</v>
      </c>
      <c r="M35" s="35"/>
      <c r="N35" s="37">
        <f t="shared" si="3"/>
        <v>0</v>
      </c>
      <c r="O35" s="35"/>
      <c r="P35" s="35"/>
      <c r="Q35" s="36">
        <f t="shared" si="4"/>
        <v>0</v>
      </c>
      <c r="R35" s="35"/>
      <c r="S35" s="37">
        <f t="shared" si="5"/>
        <v>0</v>
      </c>
      <c r="T35" s="37">
        <f t="shared" si="13"/>
        <v>0</v>
      </c>
      <c r="U35" s="38">
        <f t="shared" si="6"/>
        <v>0</v>
      </c>
      <c r="V35" s="39"/>
      <c r="W35" s="40"/>
      <c r="X35" s="40"/>
      <c r="Y35" s="40"/>
      <c r="Z35" s="37">
        <f t="shared" si="7"/>
        <v>0</v>
      </c>
      <c r="AA35" s="40"/>
      <c r="AB35" s="41">
        <f t="shared" ref="AB35:AC35" si="50">IFERROR(V35/J35, 0)</f>
        <v>0</v>
      </c>
      <c r="AC35" s="41">
        <f t="shared" si="50"/>
        <v>0</v>
      </c>
      <c r="AD35" s="41">
        <f t="shared" ref="AD35:AE35" si="51">IFERROR(Z35/O35, 0)</f>
        <v>0</v>
      </c>
      <c r="AE35" s="41">
        <f t="shared" si="51"/>
        <v>0</v>
      </c>
      <c r="AF35" s="41">
        <f t="shared" si="10"/>
        <v>0</v>
      </c>
      <c r="AG35" s="39"/>
      <c r="AH35" s="40"/>
      <c r="AI35" s="40"/>
      <c r="AJ35" s="40"/>
      <c r="AK35" s="40"/>
      <c r="AL35" s="42"/>
      <c r="AM35" s="38">
        <f t="shared" si="11"/>
        <v>0</v>
      </c>
      <c r="AN35" s="39"/>
      <c r="AO35" s="43">
        <f t="shared" si="12"/>
        <v>0</v>
      </c>
    </row>
    <row r="36" spans="1:41" ht="15.75" customHeight="1" x14ac:dyDescent="0.2">
      <c r="A36" s="44" t="s">
        <v>54</v>
      </c>
      <c r="B36" s="45">
        <f t="shared" ref="B36:AA36" si="52">SUM(B16:B35)</f>
        <v>0</v>
      </c>
      <c r="C36" s="46">
        <f t="shared" si="52"/>
        <v>0</v>
      </c>
      <c r="D36" s="47">
        <f t="shared" si="52"/>
        <v>0</v>
      </c>
      <c r="E36" s="47">
        <f t="shared" si="52"/>
        <v>0</v>
      </c>
      <c r="F36" s="47">
        <f t="shared" si="52"/>
        <v>0</v>
      </c>
      <c r="G36" s="47">
        <f t="shared" si="52"/>
        <v>0</v>
      </c>
      <c r="H36" s="47">
        <f t="shared" si="52"/>
        <v>0</v>
      </c>
      <c r="I36" s="47">
        <f t="shared" si="52"/>
        <v>0</v>
      </c>
      <c r="J36" s="47">
        <f t="shared" si="52"/>
        <v>0</v>
      </c>
      <c r="K36" s="47">
        <f t="shared" si="52"/>
        <v>0</v>
      </c>
      <c r="L36" s="47">
        <f t="shared" si="52"/>
        <v>0</v>
      </c>
      <c r="M36" s="47">
        <f t="shared" si="52"/>
        <v>0</v>
      </c>
      <c r="N36" s="47">
        <f t="shared" si="52"/>
        <v>0</v>
      </c>
      <c r="O36" s="47">
        <f t="shared" si="52"/>
        <v>0</v>
      </c>
      <c r="P36" s="47">
        <f t="shared" si="52"/>
        <v>0</v>
      </c>
      <c r="Q36" s="47">
        <f t="shared" si="52"/>
        <v>0</v>
      </c>
      <c r="R36" s="47">
        <f t="shared" si="52"/>
        <v>0</v>
      </c>
      <c r="S36" s="47">
        <f t="shared" si="52"/>
        <v>0</v>
      </c>
      <c r="T36" s="47">
        <f t="shared" si="52"/>
        <v>0</v>
      </c>
      <c r="U36" s="48">
        <f t="shared" si="52"/>
        <v>0</v>
      </c>
      <c r="V36" s="46">
        <f t="shared" si="52"/>
        <v>0</v>
      </c>
      <c r="W36" s="47">
        <f t="shared" si="52"/>
        <v>0</v>
      </c>
      <c r="X36" s="47">
        <f t="shared" si="52"/>
        <v>0</v>
      </c>
      <c r="Y36" s="47">
        <f t="shared" si="52"/>
        <v>0</v>
      </c>
      <c r="Z36" s="47">
        <f t="shared" si="52"/>
        <v>0</v>
      </c>
      <c r="AA36" s="47">
        <f t="shared" si="52"/>
        <v>0</v>
      </c>
      <c r="AB36" s="49">
        <f t="shared" ref="AB36:AC36" si="53">IFERROR(V36/J36, 0)</f>
        <v>0</v>
      </c>
      <c r="AC36" s="49">
        <f t="shared" si="53"/>
        <v>0</v>
      </c>
      <c r="AD36" s="49">
        <f t="shared" ref="AD36:AE36" si="54">IFERROR(Z36/O36, 0)</f>
        <v>0</v>
      </c>
      <c r="AE36" s="49">
        <f t="shared" si="54"/>
        <v>0</v>
      </c>
      <c r="AF36" s="49">
        <f t="shared" si="10"/>
        <v>0</v>
      </c>
      <c r="AG36" s="46">
        <f t="shared" ref="AG36:AN36" si="55">SUM(AG16:AG35)</f>
        <v>0</v>
      </c>
      <c r="AH36" s="47">
        <f t="shared" si="55"/>
        <v>0</v>
      </c>
      <c r="AI36" s="47">
        <f t="shared" si="55"/>
        <v>0</v>
      </c>
      <c r="AJ36" s="47">
        <f t="shared" si="55"/>
        <v>0</v>
      </c>
      <c r="AK36" s="47">
        <f t="shared" si="55"/>
        <v>0</v>
      </c>
      <c r="AL36" s="47">
        <f t="shared" si="55"/>
        <v>0</v>
      </c>
      <c r="AM36" s="48">
        <f t="shared" si="55"/>
        <v>0</v>
      </c>
      <c r="AN36" s="46">
        <f t="shared" si="55"/>
        <v>0</v>
      </c>
      <c r="AO36" s="50">
        <f t="shared" si="12"/>
        <v>0</v>
      </c>
    </row>
    <row r="37" spans="1:41" ht="15.75" customHeight="1" x14ac:dyDescent="0.2">
      <c r="A37" s="51"/>
      <c r="B37" s="4"/>
      <c r="C37" s="52"/>
      <c r="D37" s="52"/>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row>
    <row r="38" spans="1:41" ht="15.75" customHeight="1" x14ac:dyDescent="0.2">
      <c r="A38" s="103" t="s">
        <v>55</v>
      </c>
      <c r="B38" s="4">
        <v>1</v>
      </c>
      <c r="C38" s="53" t="str">
        <f ca="1">IFERROR(__xludf.DUMMYFUNCTION("IF(
  COUNTUNIQUE($E$36,$H$36,$U$36,$AM$36)=1,
  ""✅ Totals of sex, age, animal bite cases, and biting animals match"",
  ""❌ Totals of sex, age, animal bite cases, and biting animals DO NOT match. Please recheck the data.""
)
"),"✅ Totals of sex, age, animal bite cases, and biting animals match")</f>
        <v>✅ Totals of sex, age, animal bite cases, and biting animals match</v>
      </c>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row>
    <row r="39" spans="1:41" ht="15.75" customHeight="1" x14ac:dyDescent="0.2">
      <c r="A39" s="88"/>
      <c r="B39" s="4">
        <v>2</v>
      </c>
      <c r="C39" s="53" t="str">
        <f>IF(
  SUMPRODUCT(--(AB16:AF36&gt;1))=0,
  "✅ PEP Coverage ≤100%",
  "❌ PEP Coverage cannot exceed 100%. "&amp;SUMPRODUCT(--(AB16:AF36&gt;1))&amp;" cell(s) exceed 100%. Please recheck the data."
)</f>
        <v>✅ PEP Coverage ≤100%</v>
      </c>
      <c r="D39" s="52"/>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row>
    <row r="40" spans="1:41" ht="15.75" customHeight="1" x14ac:dyDescent="0.2">
      <c r="A40" s="104" t="s">
        <v>62</v>
      </c>
      <c r="B40" s="88"/>
      <c r="C40" s="88"/>
      <c r="D40" s="88"/>
      <c r="E40" s="88"/>
      <c r="F40" s="88"/>
      <c r="G40" s="88"/>
      <c r="H40" s="88"/>
      <c r="I40" s="88"/>
      <c r="J40" s="88"/>
      <c r="K40" s="88"/>
      <c r="L40" s="88"/>
      <c r="M40" s="88"/>
      <c r="N40" s="88"/>
      <c r="O40" s="88"/>
      <c r="P40" s="88"/>
      <c r="Q40" s="88"/>
      <c r="R40" s="88"/>
      <c r="S40" s="88"/>
      <c r="T40" s="88"/>
      <c r="U40" s="88"/>
      <c r="V40" s="87" t="s">
        <v>63</v>
      </c>
      <c r="W40" s="88"/>
      <c r="X40" s="88"/>
      <c r="Y40" s="88"/>
      <c r="Z40" s="88"/>
      <c r="AA40" s="88"/>
      <c r="AB40" s="87" t="s">
        <v>64</v>
      </c>
      <c r="AC40" s="88"/>
      <c r="AD40" s="88"/>
      <c r="AE40" s="88"/>
      <c r="AF40" s="88"/>
      <c r="AG40" s="88"/>
      <c r="AH40" s="87" t="s">
        <v>65</v>
      </c>
      <c r="AI40" s="88"/>
      <c r="AJ40" s="88"/>
      <c r="AK40" s="88"/>
      <c r="AL40" s="88"/>
      <c r="AM40" s="88"/>
      <c r="AN40" s="88"/>
      <c r="AO40" s="88"/>
    </row>
    <row r="41" spans="1:41" ht="15.75" customHeight="1" x14ac:dyDescent="0.2"/>
    <row r="42" spans="1:41" ht="15.75" customHeight="1" x14ac:dyDescent="0.2"/>
    <row r="43" spans="1:41" ht="15.75" customHeight="1" x14ac:dyDescent="0.2"/>
    <row r="44" spans="1:41" ht="15.75" customHeight="1" x14ac:dyDescent="0.2"/>
    <row r="45" spans="1:41" ht="15.75" customHeight="1" x14ac:dyDescent="0.2"/>
    <row r="46" spans="1:41" ht="15.75" customHeight="1" x14ac:dyDescent="0.2"/>
    <row r="47" spans="1:41" ht="15.75" customHeight="1" x14ac:dyDescent="0.2"/>
    <row r="48" spans="1:41"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61">
    <mergeCell ref="T13:T15"/>
    <mergeCell ref="U13:U15"/>
    <mergeCell ref="X13:AA13"/>
    <mergeCell ref="AB13:AC13"/>
    <mergeCell ref="AN11:AO11"/>
    <mergeCell ref="AM12:AM15"/>
    <mergeCell ref="AN12:AN15"/>
    <mergeCell ref="AO12:AO15"/>
    <mergeCell ref="V13:W13"/>
    <mergeCell ref="V12:AA12"/>
    <mergeCell ref="AB12:AF12"/>
    <mergeCell ref="AG12:AI12"/>
    <mergeCell ref="AJ12:AL12"/>
    <mergeCell ref="AA14:AA15"/>
    <mergeCell ref="AB14:AB15"/>
    <mergeCell ref="AC14:AC15"/>
    <mergeCell ref="V11:AF11"/>
    <mergeCell ref="AG11:AM11"/>
    <mergeCell ref="AD13:AE13"/>
    <mergeCell ref="AF13:AF15"/>
    <mergeCell ref="AD14:AD15"/>
    <mergeCell ref="AE14:AE15"/>
    <mergeCell ref="AG13:AG15"/>
    <mergeCell ref="A1:A5"/>
    <mergeCell ref="A7:A9"/>
    <mergeCell ref="C7:F7"/>
    <mergeCell ref="J7:K7"/>
    <mergeCell ref="A11:A15"/>
    <mergeCell ref="C11:U11"/>
    <mergeCell ref="I12:U12"/>
    <mergeCell ref="C12:E12"/>
    <mergeCell ref="F12:H12"/>
    <mergeCell ref="B11:B15"/>
    <mergeCell ref="C13:C15"/>
    <mergeCell ref="D13:D15"/>
    <mergeCell ref="E13:E15"/>
    <mergeCell ref="F13:F15"/>
    <mergeCell ref="G13:G15"/>
    <mergeCell ref="H13:H15"/>
    <mergeCell ref="A40:U40"/>
    <mergeCell ref="V40:AA40"/>
    <mergeCell ref="AB40:AG40"/>
    <mergeCell ref="AH40:AO40"/>
    <mergeCell ref="N14:N15"/>
    <mergeCell ref="O14:Q14"/>
    <mergeCell ref="R14:R15"/>
    <mergeCell ref="S14:S15"/>
    <mergeCell ref="AH13:AH15"/>
    <mergeCell ref="AI13:AI15"/>
    <mergeCell ref="AJ13:AJ15"/>
    <mergeCell ref="AK13:AK15"/>
    <mergeCell ref="AL13:AL15"/>
    <mergeCell ref="V14:V15"/>
    <mergeCell ref="W14:W15"/>
    <mergeCell ref="X14:Z14"/>
    <mergeCell ref="J13:N13"/>
    <mergeCell ref="O13:S13"/>
    <mergeCell ref="J14:L14"/>
    <mergeCell ref="M14:M15"/>
    <mergeCell ref="A38:A39"/>
    <mergeCell ref="I13:I15"/>
  </mergeCells>
  <conditionalFormatting sqref="B38">
    <cfRule type="expression" dxfId="31" priority="1">
      <formula>COUNTUNIQUE($E$36,$H$36,$U$36,$AM$36)=1</formula>
    </cfRule>
    <cfRule type="expression" dxfId="30" priority="6">
      <formula>COUNTUNIQUE($E$36,$H$36,$U$36,$AM$36)&gt;1</formula>
    </cfRule>
  </conditionalFormatting>
  <conditionalFormatting sqref="B39">
    <cfRule type="expression" dxfId="29" priority="4">
      <formula>SUMPRODUCT(--(AB16:AF36&gt;1))=0</formula>
    </cfRule>
    <cfRule type="expression" dxfId="28" priority="5">
      <formula>SUMPRODUCT(--(AB16:AF36&gt;1))&gt;0</formula>
    </cfRule>
  </conditionalFormatting>
  <conditionalFormatting sqref="AB16:AF36">
    <cfRule type="expression" dxfId="27" priority="2">
      <formula>AND(AB16&lt;&gt;"", AB16&gt;1)</formula>
    </cfRule>
    <cfRule type="expression" dxfId="26" priority="3">
      <formula>AND(AB16&lt;&gt;"", AB16&gt;=0, AB16&lt;=1)</formula>
    </cfRule>
  </conditionalFormatting>
  <hyperlinks>
    <hyperlink ref="A40" r:id="rId1" xr:uid="{00000000-0004-0000-0100-000000000000}"/>
  </hyperlinks>
  <pageMargins left="0.75" right="0.75" top="1" bottom="1" header="0" footer="0"/>
  <pageSetup paperSize="14" orientation="landscape"/>
  <colBreaks count="2" manualBreakCount="2">
    <brk id="21" man="1"/>
    <brk id="41"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O1000"/>
  <sheetViews>
    <sheetView workbookViewId="0">
      <pane ySplit="15" topLeftCell="A16" activePane="bottomLeft" state="frozen"/>
      <selection pane="bottomLeft" activeCell="B7" sqref="B7"/>
    </sheetView>
  </sheetViews>
  <sheetFormatPr defaultColWidth="12.5703125" defaultRowHeight="15" customHeight="1" x14ac:dyDescent="0.2"/>
  <cols>
    <col min="1" max="1" width="18.140625" customWidth="1"/>
    <col min="2" max="41" width="10.7109375" customWidth="1"/>
  </cols>
  <sheetData>
    <row r="1" spans="1:41" ht="15.75" customHeight="1" x14ac:dyDescent="0.2">
      <c r="A1" s="115"/>
      <c r="B1" s="1"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15.75" customHeight="1" x14ac:dyDescent="0.2">
      <c r="A2" s="88"/>
      <c r="B2" s="1"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row>
    <row r="3" spans="1:41" ht="15.75" customHeight="1" x14ac:dyDescent="0.2">
      <c r="A3" s="88"/>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row>
    <row r="4" spans="1:41" ht="15.75" customHeight="1" x14ac:dyDescent="0.2">
      <c r="A4" s="88"/>
      <c r="B4" s="3" t="s">
        <v>2</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row>
    <row r="5" spans="1:41" ht="15.75" customHeight="1" x14ac:dyDescent="0.2">
      <c r="A5" s="88"/>
      <c r="B5" s="3" t="s">
        <v>3</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row>
    <row r="6" spans="1:41" ht="15.75" customHeight="1" x14ac:dyDescent="0.2">
      <c r="A6" s="4"/>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row>
    <row r="7" spans="1:41" ht="15.75" customHeight="1" x14ac:dyDescent="0.2">
      <c r="A7" s="116"/>
      <c r="B7" s="3" t="s">
        <v>102</v>
      </c>
      <c r="C7" s="117"/>
      <c r="D7" s="118"/>
      <c r="E7" s="118"/>
      <c r="F7" s="118"/>
      <c r="H7" s="3" t="s">
        <v>4</v>
      </c>
      <c r="I7" s="3"/>
      <c r="J7" s="117" t="s">
        <v>66</v>
      </c>
      <c r="K7" s="118"/>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row>
    <row r="8" spans="1:41" ht="15.75" customHeight="1" x14ac:dyDescent="0.2">
      <c r="A8" s="88"/>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row>
    <row r="9" spans="1:41" ht="15.75" customHeight="1" x14ac:dyDescent="0.2">
      <c r="A9" s="88"/>
      <c r="B9" s="5" t="s">
        <v>67</v>
      </c>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row>
    <row r="10" spans="1:41" ht="15.75" customHeight="1" x14ac:dyDescent="0.2">
      <c r="A10" s="4"/>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row>
    <row r="11" spans="1:41" ht="15.75" customHeight="1" x14ac:dyDescent="0.2">
      <c r="A11" s="119" t="s">
        <v>100</v>
      </c>
      <c r="B11" s="119" t="s">
        <v>8</v>
      </c>
      <c r="C11" s="110" t="s">
        <v>9</v>
      </c>
      <c r="D11" s="111"/>
      <c r="E11" s="111"/>
      <c r="F11" s="111"/>
      <c r="G11" s="111"/>
      <c r="H11" s="111"/>
      <c r="I11" s="111"/>
      <c r="J11" s="111"/>
      <c r="K11" s="111"/>
      <c r="L11" s="111"/>
      <c r="M11" s="111"/>
      <c r="N11" s="111"/>
      <c r="O11" s="111"/>
      <c r="P11" s="111"/>
      <c r="Q11" s="111"/>
      <c r="R11" s="111"/>
      <c r="S11" s="111"/>
      <c r="T11" s="111"/>
      <c r="U11" s="112"/>
      <c r="V11" s="110" t="s">
        <v>10</v>
      </c>
      <c r="W11" s="111"/>
      <c r="X11" s="111"/>
      <c r="Y11" s="111"/>
      <c r="Z11" s="111"/>
      <c r="AA11" s="111"/>
      <c r="AB11" s="111"/>
      <c r="AC11" s="111"/>
      <c r="AD11" s="111"/>
      <c r="AE11" s="111"/>
      <c r="AF11" s="112"/>
      <c r="AG11" s="110" t="s">
        <v>11</v>
      </c>
      <c r="AH11" s="111"/>
      <c r="AI11" s="111"/>
      <c r="AJ11" s="111"/>
      <c r="AK11" s="111"/>
      <c r="AL11" s="111"/>
      <c r="AM11" s="112"/>
      <c r="AN11" s="110" t="s">
        <v>12</v>
      </c>
      <c r="AO11" s="113"/>
    </row>
    <row r="12" spans="1:41" ht="15.75" customHeight="1" x14ac:dyDescent="0.2">
      <c r="A12" s="120"/>
      <c r="B12" s="120"/>
      <c r="C12" s="108" t="s">
        <v>13</v>
      </c>
      <c r="D12" s="106"/>
      <c r="E12" s="107"/>
      <c r="F12" s="105" t="s">
        <v>14</v>
      </c>
      <c r="G12" s="106"/>
      <c r="H12" s="107"/>
      <c r="I12" s="105" t="s">
        <v>15</v>
      </c>
      <c r="J12" s="106"/>
      <c r="K12" s="106"/>
      <c r="L12" s="106"/>
      <c r="M12" s="106"/>
      <c r="N12" s="106"/>
      <c r="O12" s="106"/>
      <c r="P12" s="106"/>
      <c r="Q12" s="106"/>
      <c r="R12" s="106"/>
      <c r="S12" s="106"/>
      <c r="T12" s="106"/>
      <c r="U12" s="107"/>
      <c r="V12" s="108" t="s">
        <v>16</v>
      </c>
      <c r="W12" s="106"/>
      <c r="X12" s="106"/>
      <c r="Y12" s="106"/>
      <c r="Z12" s="106"/>
      <c r="AA12" s="107"/>
      <c r="AB12" s="114" t="s">
        <v>17</v>
      </c>
      <c r="AC12" s="106"/>
      <c r="AD12" s="106"/>
      <c r="AE12" s="106"/>
      <c r="AF12" s="107"/>
      <c r="AG12" s="108" t="s">
        <v>18</v>
      </c>
      <c r="AH12" s="106"/>
      <c r="AI12" s="107"/>
      <c r="AJ12" s="105" t="s">
        <v>19</v>
      </c>
      <c r="AK12" s="106"/>
      <c r="AL12" s="107"/>
      <c r="AM12" s="94" t="s">
        <v>20</v>
      </c>
      <c r="AN12" s="97" t="s">
        <v>21</v>
      </c>
      <c r="AO12" s="100" t="s">
        <v>22</v>
      </c>
    </row>
    <row r="13" spans="1:41" ht="15.75" customHeight="1" x14ac:dyDescent="0.2">
      <c r="A13" s="120"/>
      <c r="B13" s="120"/>
      <c r="C13" s="97" t="s">
        <v>23</v>
      </c>
      <c r="D13" s="92" t="s">
        <v>24</v>
      </c>
      <c r="E13" s="92" t="s">
        <v>20</v>
      </c>
      <c r="F13" s="92" t="s">
        <v>25</v>
      </c>
      <c r="G13" s="92" t="s">
        <v>26</v>
      </c>
      <c r="H13" s="92" t="s">
        <v>20</v>
      </c>
      <c r="I13" s="92" t="s">
        <v>27</v>
      </c>
      <c r="J13" s="105" t="s">
        <v>28</v>
      </c>
      <c r="K13" s="106"/>
      <c r="L13" s="106"/>
      <c r="M13" s="106"/>
      <c r="N13" s="107"/>
      <c r="O13" s="105" t="s">
        <v>29</v>
      </c>
      <c r="P13" s="106"/>
      <c r="Q13" s="106"/>
      <c r="R13" s="106"/>
      <c r="S13" s="107"/>
      <c r="T13" s="92" t="s">
        <v>30</v>
      </c>
      <c r="U13" s="94" t="s">
        <v>31</v>
      </c>
      <c r="V13" s="108" t="s">
        <v>28</v>
      </c>
      <c r="W13" s="107"/>
      <c r="X13" s="105" t="s">
        <v>29</v>
      </c>
      <c r="Y13" s="106"/>
      <c r="Z13" s="106"/>
      <c r="AA13" s="107"/>
      <c r="AB13" s="109" t="s">
        <v>32</v>
      </c>
      <c r="AC13" s="107"/>
      <c r="AD13" s="109" t="s">
        <v>33</v>
      </c>
      <c r="AE13" s="107"/>
      <c r="AF13" s="89" t="s">
        <v>34</v>
      </c>
      <c r="AG13" s="97" t="s">
        <v>35</v>
      </c>
      <c r="AH13" s="92" t="s">
        <v>36</v>
      </c>
      <c r="AI13" s="92" t="s">
        <v>37</v>
      </c>
      <c r="AJ13" s="92" t="s">
        <v>38</v>
      </c>
      <c r="AK13" s="92" t="s">
        <v>39</v>
      </c>
      <c r="AL13" s="94" t="s">
        <v>40</v>
      </c>
      <c r="AM13" s="95"/>
      <c r="AN13" s="98"/>
      <c r="AO13" s="101"/>
    </row>
    <row r="14" spans="1:41" ht="15.75" customHeight="1" x14ac:dyDescent="0.2">
      <c r="A14" s="120"/>
      <c r="B14" s="120"/>
      <c r="C14" s="98"/>
      <c r="D14" s="93"/>
      <c r="E14" s="93"/>
      <c r="F14" s="93"/>
      <c r="G14" s="93"/>
      <c r="H14" s="93"/>
      <c r="I14" s="93"/>
      <c r="J14" s="105" t="s">
        <v>41</v>
      </c>
      <c r="K14" s="106"/>
      <c r="L14" s="107"/>
      <c r="M14" s="92" t="s">
        <v>42</v>
      </c>
      <c r="N14" s="92" t="s">
        <v>43</v>
      </c>
      <c r="O14" s="105" t="s">
        <v>41</v>
      </c>
      <c r="P14" s="106"/>
      <c r="Q14" s="107"/>
      <c r="R14" s="92" t="s">
        <v>42</v>
      </c>
      <c r="S14" s="92" t="s">
        <v>44</v>
      </c>
      <c r="T14" s="93"/>
      <c r="U14" s="95"/>
      <c r="V14" s="97" t="s">
        <v>45</v>
      </c>
      <c r="W14" s="92" t="s">
        <v>46</v>
      </c>
      <c r="X14" s="105" t="s">
        <v>47</v>
      </c>
      <c r="Y14" s="106"/>
      <c r="Z14" s="107"/>
      <c r="AA14" s="92" t="s">
        <v>48</v>
      </c>
      <c r="AB14" s="89" t="s">
        <v>45</v>
      </c>
      <c r="AC14" s="89" t="s">
        <v>46</v>
      </c>
      <c r="AD14" s="91" t="s">
        <v>49</v>
      </c>
      <c r="AE14" s="91" t="s">
        <v>50</v>
      </c>
      <c r="AF14" s="93"/>
      <c r="AG14" s="98"/>
      <c r="AH14" s="93"/>
      <c r="AI14" s="93"/>
      <c r="AJ14" s="93"/>
      <c r="AK14" s="93"/>
      <c r="AL14" s="95"/>
      <c r="AM14" s="95"/>
      <c r="AN14" s="98"/>
      <c r="AO14" s="101"/>
    </row>
    <row r="15" spans="1:41" ht="15.75" customHeight="1" x14ac:dyDescent="0.2">
      <c r="A15" s="121"/>
      <c r="B15" s="121"/>
      <c r="C15" s="99"/>
      <c r="D15" s="90"/>
      <c r="E15" s="90"/>
      <c r="F15" s="90"/>
      <c r="G15" s="90"/>
      <c r="H15" s="90"/>
      <c r="I15" s="90"/>
      <c r="J15" s="6" t="s">
        <v>45</v>
      </c>
      <c r="K15" s="6" t="s">
        <v>46</v>
      </c>
      <c r="L15" s="6" t="s">
        <v>51</v>
      </c>
      <c r="M15" s="90"/>
      <c r="N15" s="90"/>
      <c r="O15" s="6" t="s">
        <v>47</v>
      </c>
      <c r="P15" s="6" t="s">
        <v>48</v>
      </c>
      <c r="Q15" s="6" t="s">
        <v>20</v>
      </c>
      <c r="R15" s="90"/>
      <c r="S15" s="90"/>
      <c r="T15" s="90"/>
      <c r="U15" s="96"/>
      <c r="V15" s="99"/>
      <c r="W15" s="90"/>
      <c r="X15" s="6" t="s">
        <v>52</v>
      </c>
      <c r="Y15" s="6" t="s">
        <v>53</v>
      </c>
      <c r="Z15" s="6" t="s">
        <v>20</v>
      </c>
      <c r="AA15" s="90"/>
      <c r="AB15" s="90"/>
      <c r="AC15" s="90"/>
      <c r="AD15" s="90"/>
      <c r="AE15" s="90"/>
      <c r="AF15" s="90"/>
      <c r="AG15" s="99"/>
      <c r="AH15" s="90"/>
      <c r="AI15" s="90"/>
      <c r="AJ15" s="90"/>
      <c r="AK15" s="90"/>
      <c r="AL15" s="96"/>
      <c r="AM15" s="96"/>
      <c r="AN15" s="99"/>
      <c r="AO15" s="102"/>
    </row>
    <row r="16" spans="1:41" ht="15.75" customHeight="1" x14ac:dyDescent="0.2">
      <c r="A16" s="7"/>
      <c r="B16" s="8"/>
      <c r="C16" s="9"/>
      <c r="D16" s="10"/>
      <c r="E16" s="11">
        <f t="shared" ref="E16:E34" si="0">SUM(C16,D16)</f>
        <v>0</v>
      </c>
      <c r="F16" s="10"/>
      <c r="G16" s="10"/>
      <c r="H16" s="11">
        <f t="shared" ref="H16:H35" si="1">F16+G16</f>
        <v>0</v>
      </c>
      <c r="I16" s="10"/>
      <c r="J16" s="10"/>
      <c r="K16" s="10"/>
      <c r="L16" s="11">
        <f t="shared" ref="L16:L35" si="2">SUM(J16,K16)</f>
        <v>0</v>
      </c>
      <c r="M16" s="10"/>
      <c r="N16" s="12">
        <f t="shared" ref="N16:N35" si="3">SUM(M16)</f>
        <v>0</v>
      </c>
      <c r="O16" s="10"/>
      <c r="P16" s="10"/>
      <c r="Q16" s="11">
        <f t="shared" ref="Q16:Q35" si="4">SUM(O16,P16)</f>
        <v>0</v>
      </c>
      <c r="R16" s="10"/>
      <c r="S16" s="12">
        <f t="shared" ref="S16:S35" si="5">SUM(Q16,R16)</f>
        <v>0</v>
      </c>
      <c r="T16" s="12">
        <f>SUM(L16,Q16)</f>
        <v>0</v>
      </c>
      <c r="U16" s="13">
        <f t="shared" ref="U16:U35" si="6">SUM(I16,N16,S16)</f>
        <v>0</v>
      </c>
      <c r="V16" s="14"/>
      <c r="W16" s="15"/>
      <c r="X16" s="15"/>
      <c r="Y16" s="15"/>
      <c r="Z16" s="12">
        <f t="shared" ref="Z16:Z35" si="7">SUM(X16,Y16)</f>
        <v>0</v>
      </c>
      <c r="AA16" s="15"/>
      <c r="AB16" s="16">
        <f t="shared" ref="AB16:AC16" si="8">IFERROR(V16/J16, 0)</f>
        <v>0</v>
      </c>
      <c r="AC16" s="16">
        <f t="shared" si="8"/>
        <v>0</v>
      </c>
      <c r="AD16" s="16">
        <f t="shared" ref="AD16:AE16" si="9">IFERROR(Z16/O16, 0)</f>
        <v>0</v>
      </c>
      <c r="AE16" s="16">
        <f t="shared" si="9"/>
        <v>0</v>
      </c>
      <c r="AF16" s="16">
        <f t="shared" ref="AF16:AF36" si="10">IFERROR(SUM(V16,W16,Z16,AA16)/SUM(L16,Q16), 0)</f>
        <v>0</v>
      </c>
      <c r="AG16" s="14"/>
      <c r="AH16" s="15"/>
      <c r="AI16" s="15"/>
      <c r="AJ16" s="15"/>
      <c r="AK16" s="15"/>
      <c r="AL16" s="17"/>
      <c r="AM16" s="13">
        <f t="shared" ref="AM16:AM35" si="11">SUM(AG16,AH16,AI16)</f>
        <v>0</v>
      </c>
      <c r="AN16" s="14"/>
      <c r="AO16" s="18">
        <f t="shared" ref="AO16:AO36" si="12">IFERROR((AN16/B16)*1000000, 0)</f>
        <v>0</v>
      </c>
    </row>
    <row r="17" spans="1:41" ht="15.75" customHeight="1" x14ac:dyDescent="0.2">
      <c r="A17" s="19"/>
      <c r="B17" s="20"/>
      <c r="C17" s="21"/>
      <c r="D17" s="22"/>
      <c r="E17" s="23">
        <f t="shared" si="0"/>
        <v>0</v>
      </c>
      <c r="F17" s="22"/>
      <c r="G17" s="22"/>
      <c r="H17" s="23">
        <f t="shared" si="1"/>
        <v>0</v>
      </c>
      <c r="I17" s="22"/>
      <c r="J17" s="22"/>
      <c r="K17" s="22"/>
      <c r="L17" s="23">
        <f t="shared" si="2"/>
        <v>0</v>
      </c>
      <c r="M17" s="22"/>
      <c r="N17" s="24">
        <f t="shared" si="3"/>
        <v>0</v>
      </c>
      <c r="O17" s="22"/>
      <c r="P17" s="22"/>
      <c r="Q17" s="23">
        <f t="shared" si="4"/>
        <v>0</v>
      </c>
      <c r="R17" s="22"/>
      <c r="S17" s="24">
        <f t="shared" si="5"/>
        <v>0</v>
      </c>
      <c r="T17" s="24">
        <f t="shared" ref="T17:T35" si="13">SUM(J17,K17,O17,P17)</f>
        <v>0</v>
      </c>
      <c r="U17" s="25">
        <f t="shared" si="6"/>
        <v>0</v>
      </c>
      <c r="V17" s="26"/>
      <c r="W17" s="27"/>
      <c r="X17" s="27"/>
      <c r="Y17" s="27"/>
      <c r="Z17" s="24">
        <f t="shared" si="7"/>
        <v>0</v>
      </c>
      <c r="AA17" s="27"/>
      <c r="AB17" s="28">
        <f t="shared" ref="AB17:AC17" si="14">IFERROR(V17/J17, 0)</f>
        <v>0</v>
      </c>
      <c r="AC17" s="28">
        <f t="shared" si="14"/>
        <v>0</v>
      </c>
      <c r="AD17" s="28">
        <f t="shared" ref="AD17:AE17" si="15">IFERROR(Z17/O17, 0)</f>
        <v>0</v>
      </c>
      <c r="AE17" s="28">
        <f t="shared" si="15"/>
        <v>0</v>
      </c>
      <c r="AF17" s="28">
        <f t="shared" si="10"/>
        <v>0</v>
      </c>
      <c r="AG17" s="26"/>
      <c r="AH17" s="27"/>
      <c r="AI17" s="27"/>
      <c r="AJ17" s="27"/>
      <c r="AK17" s="27"/>
      <c r="AL17" s="29"/>
      <c r="AM17" s="25">
        <f t="shared" si="11"/>
        <v>0</v>
      </c>
      <c r="AN17" s="26"/>
      <c r="AO17" s="30">
        <f t="shared" si="12"/>
        <v>0</v>
      </c>
    </row>
    <row r="18" spans="1:41" ht="15.75" customHeight="1" x14ac:dyDescent="0.2">
      <c r="A18" s="19"/>
      <c r="B18" s="20"/>
      <c r="C18" s="21"/>
      <c r="D18" s="22"/>
      <c r="E18" s="23">
        <f t="shared" si="0"/>
        <v>0</v>
      </c>
      <c r="F18" s="22"/>
      <c r="G18" s="22"/>
      <c r="H18" s="23">
        <f t="shared" si="1"/>
        <v>0</v>
      </c>
      <c r="I18" s="22"/>
      <c r="J18" s="22"/>
      <c r="K18" s="22"/>
      <c r="L18" s="23">
        <f t="shared" si="2"/>
        <v>0</v>
      </c>
      <c r="M18" s="22"/>
      <c r="N18" s="24">
        <f t="shared" si="3"/>
        <v>0</v>
      </c>
      <c r="O18" s="22"/>
      <c r="P18" s="22"/>
      <c r="Q18" s="23">
        <f t="shared" si="4"/>
        <v>0</v>
      </c>
      <c r="R18" s="22"/>
      <c r="S18" s="24">
        <f t="shared" si="5"/>
        <v>0</v>
      </c>
      <c r="T18" s="24">
        <f t="shared" si="13"/>
        <v>0</v>
      </c>
      <c r="U18" s="25">
        <f t="shared" si="6"/>
        <v>0</v>
      </c>
      <c r="V18" s="26"/>
      <c r="W18" s="27"/>
      <c r="X18" s="27"/>
      <c r="Y18" s="27"/>
      <c r="Z18" s="24">
        <f t="shared" si="7"/>
        <v>0</v>
      </c>
      <c r="AA18" s="27"/>
      <c r="AB18" s="28">
        <f t="shared" ref="AB18:AC18" si="16">IFERROR(V18/J18, 0)</f>
        <v>0</v>
      </c>
      <c r="AC18" s="28">
        <f t="shared" si="16"/>
        <v>0</v>
      </c>
      <c r="AD18" s="28">
        <f t="shared" ref="AD18:AE18" si="17">IFERROR(Z18/O18, 0)</f>
        <v>0</v>
      </c>
      <c r="AE18" s="28">
        <f t="shared" si="17"/>
        <v>0</v>
      </c>
      <c r="AF18" s="28">
        <f t="shared" si="10"/>
        <v>0</v>
      </c>
      <c r="AG18" s="26"/>
      <c r="AH18" s="27"/>
      <c r="AI18" s="27"/>
      <c r="AJ18" s="27"/>
      <c r="AK18" s="27"/>
      <c r="AL18" s="29"/>
      <c r="AM18" s="25">
        <f t="shared" si="11"/>
        <v>0</v>
      </c>
      <c r="AN18" s="26"/>
      <c r="AO18" s="30">
        <f t="shared" si="12"/>
        <v>0</v>
      </c>
    </row>
    <row r="19" spans="1:41" ht="15.75" customHeight="1" x14ac:dyDescent="0.2">
      <c r="A19" s="19"/>
      <c r="B19" s="20"/>
      <c r="C19" s="21"/>
      <c r="D19" s="22"/>
      <c r="E19" s="23">
        <f t="shared" si="0"/>
        <v>0</v>
      </c>
      <c r="F19" s="22"/>
      <c r="G19" s="22"/>
      <c r="H19" s="23">
        <f t="shared" si="1"/>
        <v>0</v>
      </c>
      <c r="I19" s="22"/>
      <c r="J19" s="22"/>
      <c r="K19" s="22"/>
      <c r="L19" s="23">
        <f t="shared" si="2"/>
        <v>0</v>
      </c>
      <c r="M19" s="22"/>
      <c r="N19" s="24">
        <f t="shared" si="3"/>
        <v>0</v>
      </c>
      <c r="O19" s="22"/>
      <c r="P19" s="22"/>
      <c r="Q19" s="23">
        <f t="shared" si="4"/>
        <v>0</v>
      </c>
      <c r="R19" s="22"/>
      <c r="S19" s="24">
        <f t="shared" si="5"/>
        <v>0</v>
      </c>
      <c r="T19" s="24">
        <f t="shared" si="13"/>
        <v>0</v>
      </c>
      <c r="U19" s="25">
        <f t="shared" si="6"/>
        <v>0</v>
      </c>
      <c r="V19" s="26"/>
      <c r="W19" s="27"/>
      <c r="X19" s="27"/>
      <c r="Y19" s="27"/>
      <c r="Z19" s="24">
        <f t="shared" si="7"/>
        <v>0</v>
      </c>
      <c r="AA19" s="27"/>
      <c r="AB19" s="28">
        <f t="shared" ref="AB19:AC19" si="18">IFERROR(V19/J19, 0)</f>
        <v>0</v>
      </c>
      <c r="AC19" s="28">
        <f t="shared" si="18"/>
        <v>0</v>
      </c>
      <c r="AD19" s="28">
        <f t="shared" ref="AD19:AE19" si="19">IFERROR(Z19/O19, 0)</f>
        <v>0</v>
      </c>
      <c r="AE19" s="28">
        <f t="shared" si="19"/>
        <v>0</v>
      </c>
      <c r="AF19" s="28">
        <f t="shared" si="10"/>
        <v>0</v>
      </c>
      <c r="AG19" s="26"/>
      <c r="AH19" s="27"/>
      <c r="AI19" s="27"/>
      <c r="AJ19" s="27"/>
      <c r="AK19" s="27"/>
      <c r="AL19" s="29"/>
      <c r="AM19" s="25">
        <f t="shared" si="11"/>
        <v>0</v>
      </c>
      <c r="AN19" s="26"/>
      <c r="AO19" s="30">
        <f t="shared" si="12"/>
        <v>0</v>
      </c>
    </row>
    <row r="20" spans="1:41" ht="15.75" customHeight="1" x14ac:dyDescent="0.2">
      <c r="A20" s="19"/>
      <c r="B20" s="20"/>
      <c r="C20" s="21"/>
      <c r="D20" s="22"/>
      <c r="E20" s="23">
        <f t="shared" si="0"/>
        <v>0</v>
      </c>
      <c r="F20" s="22"/>
      <c r="G20" s="22"/>
      <c r="H20" s="23">
        <f t="shared" si="1"/>
        <v>0</v>
      </c>
      <c r="I20" s="22"/>
      <c r="J20" s="22"/>
      <c r="K20" s="22"/>
      <c r="L20" s="23">
        <f t="shared" si="2"/>
        <v>0</v>
      </c>
      <c r="M20" s="22"/>
      <c r="N20" s="24">
        <f t="shared" si="3"/>
        <v>0</v>
      </c>
      <c r="O20" s="22"/>
      <c r="P20" s="22"/>
      <c r="Q20" s="23">
        <f t="shared" si="4"/>
        <v>0</v>
      </c>
      <c r="R20" s="22"/>
      <c r="S20" s="24">
        <f t="shared" si="5"/>
        <v>0</v>
      </c>
      <c r="T20" s="24">
        <f t="shared" si="13"/>
        <v>0</v>
      </c>
      <c r="U20" s="25">
        <f t="shared" si="6"/>
        <v>0</v>
      </c>
      <c r="V20" s="26"/>
      <c r="W20" s="27"/>
      <c r="X20" s="27"/>
      <c r="Y20" s="27"/>
      <c r="Z20" s="24">
        <f t="shared" si="7"/>
        <v>0</v>
      </c>
      <c r="AA20" s="27"/>
      <c r="AB20" s="28">
        <f t="shared" ref="AB20:AC20" si="20">IFERROR(V20/J20, 0)</f>
        <v>0</v>
      </c>
      <c r="AC20" s="28">
        <f t="shared" si="20"/>
        <v>0</v>
      </c>
      <c r="AD20" s="28">
        <f t="shared" ref="AD20:AE20" si="21">IFERROR(Z20/O20, 0)</f>
        <v>0</v>
      </c>
      <c r="AE20" s="28">
        <f t="shared" si="21"/>
        <v>0</v>
      </c>
      <c r="AF20" s="28">
        <f t="shared" si="10"/>
        <v>0</v>
      </c>
      <c r="AG20" s="26"/>
      <c r="AH20" s="27"/>
      <c r="AI20" s="27"/>
      <c r="AJ20" s="27"/>
      <c r="AK20" s="27"/>
      <c r="AL20" s="29"/>
      <c r="AM20" s="25">
        <f t="shared" si="11"/>
        <v>0</v>
      </c>
      <c r="AN20" s="26"/>
      <c r="AO20" s="30">
        <f t="shared" si="12"/>
        <v>0</v>
      </c>
    </row>
    <row r="21" spans="1:41" ht="15.75" customHeight="1" x14ac:dyDescent="0.2">
      <c r="A21" s="19"/>
      <c r="B21" s="20"/>
      <c r="C21" s="21"/>
      <c r="D21" s="22"/>
      <c r="E21" s="23">
        <f t="shared" si="0"/>
        <v>0</v>
      </c>
      <c r="F21" s="22"/>
      <c r="G21" s="22"/>
      <c r="H21" s="23">
        <f t="shared" si="1"/>
        <v>0</v>
      </c>
      <c r="I21" s="22"/>
      <c r="J21" s="22"/>
      <c r="K21" s="22"/>
      <c r="L21" s="23">
        <f t="shared" si="2"/>
        <v>0</v>
      </c>
      <c r="M21" s="22"/>
      <c r="N21" s="24">
        <f t="shared" si="3"/>
        <v>0</v>
      </c>
      <c r="O21" s="22"/>
      <c r="P21" s="22"/>
      <c r="Q21" s="23">
        <f t="shared" si="4"/>
        <v>0</v>
      </c>
      <c r="R21" s="22"/>
      <c r="S21" s="24">
        <f t="shared" si="5"/>
        <v>0</v>
      </c>
      <c r="T21" s="24">
        <f t="shared" si="13"/>
        <v>0</v>
      </c>
      <c r="U21" s="25">
        <f t="shared" si="6"/>
        <v>0</v>
      </c>
      <c r="V21" s="26"/>
      <c r="W21" s="27"/>
      <c r="X21" s="27"/>
      <c r="Y21" s="27"/>
      <c r="Z21" s="24">
        <f t="shared" si="7"/>
        <v>0</v>
      </c>
      <c r="AA21" s="27"/>
      <c r="AB21" s="28">
        <f t="shared" ref="AB21:AC21" si="22">IFERROR(V21/J21, 0)</f>
        <v>0</v>
      </c>
      <c r="AC21" s="28">
        <f t="shared" si="22"/>
        <v>0</v>
      </c>
      <c r="AD21" s="28">
        <f t="shared" ref="AD21:AE21" si="23">IFERROR(Z21/O21, 0)</f>
        <v>0</v>
      </c>
      <c r="AE21" s="28">
        <f t="shared" si="23"/>
        <v>0</v>
      </c>
      <c r="AF21" s="28">
        <f t="shared" si="10"/>
        <v>0</v>
      </c>
      <c r="AG21" s="26"/>
      <c r="AH21" s="27"/>
      <c r="AI21" s="27"/>
      <c r="AJ21" s="27"/>
      <c r="AK21" s="27"/>
      <c r="AL21" s="29"/>
      <c r="AM21" s="25">
        <f t="shared" si="11"/>
        <v>0</v>
      </c>
      <c r="AN21" s="26"/>
      <c r="AO21" s="30">
        <f t="shared" si="12"/>
        <v>0</v>
      </c>
    </row>
    <row r="22" spans="1:41" ht="15.75" customHeight="1" x14ac:dyDescent="0.2">
      <c r="A22" s="19"/>
      <c r="B22" s="20"/>
      <c r="C22" s="21"/>
      <c r="D22" s="22"/>
      <c r="E22" s="23">
        <f t="shared" si="0"/>
        <v>0</v>
      </c>
      <c r="F22" s="22"/>
      <c r="G22" s="22"/>
      <c r="H22" s="23">
        <f t="shared" si="1"/>
        <v>0</v>
      </c>
      <c r="I22" s="22"/>
      <c r="J22" s="22"/>
      <c r="K22" s="22"/>
      <c r="L22" s="23">
        <f t="shared" si="2"/>
        <v>0</v>
      </c>
      <c r="M22" s="22"/>
      <c r="N22" s="24">
        <f t="shared" si="3"/>
        <v>0</v>
      </c>
      <c r="O22" s="22"/>
      <c r="P22" s="22"/>
      <c r="Q22" s="23">
        <f t="shared" si="4"/>
        <v>0</v>
      </c>
      <c r="R22" s="22"/>
      <c r="S22" s="24">
        <f t="shared" si="5"/>
        <v>0</v>
      </c>
      <c r="T22" s="24">
        <f t="shared" si="13"/>
        <v>0</v>
      </c>
      <c r="U22" s="25">
        <f t="shared" si="6"/>
        <v>0</v>
      </c>
      <c r="V22" s="26"/>
      <c r="W22" s="27"/>
      <c r="X22" s="27"/>
      <c r="Y22" s="27"/>
      <c r="Z22" s="24">
        <f t="shared" si="7"/>
        <v>0</v>
      </c>
      <c r="AA22" s="27"/>
      <c r="AB22" s="28">
        <f t="shared" ref="AB22:AC22" si="24">IFERROR(V22/J22, 0)</f>
        <v>0</v>
      </c>
      <c r="AC22" s="28">
        <f t="shared" si="24"/>
        <v>0</v>
      </c>
      <c r="AD22" s="28">
        <f t="shared" ref="AD22:AE22" si="25">IFERROR(Z22/O22, 0)</f>
        <v>0</v>
      </c>
      <c r="AE22" s="28">
        <f t="shared" si="25"/>
        <v>0</v>
      </c>
      <c r="AF22" s="28">
        <f t="shared" si="10"/>
        <v>0</v>
      </c>
      <c r="AG22" s="26"/>
      <c r="AH22" s="27"/>
      <c r="AI22" s="27"/>
      <c r="AJ22" s="27"/>
      <c r="AK22" s="27"/>
      <c r="AL22" s="29"/>
      <c r="AM22" s="25">
        <f t="shared" si="11"/>
        <v>0</v>
      </c>
      <c r="AN22" s="26"/>
      <c r="AO22" s="30">
        <f t="shared" si="12"/>
        <v>0</v>
      </c>
    </row>
    <row r="23" spans="1:41" ht="15.75" customHeight="1" x14ac:dyDescent="0.2">
      <c r="A23" s="19"/>
      <c r="B23" s="20"/>
      <c r="C23" s="21"/>
      <c r="D23" s="22"/>
      <c r="E23" s="23">
        <f t="shared" si="0"/>
        <v>0</v>
      </c>
      <c r="F23" s="22"/>
      <c r="G23" s="22"/>
      <c r="H23" s="23">
        <f t="shared" si="1"/>
        <v>0</v>
      </c>
      <c r="I23" s="22"/>
      <c r="J23" s="22"/>
      <c r="K23" s="22"/>
      <c r="L23" s="23">
        <f t="shared" si="2"/>
        <v>0</v>
      </c>
      <c r="M23" s="22"/>
      <c r="N23" s="24">
        <f t="shared" si="3"/>
        <v>0</v>
      </c>
      <c r="O23" s="22"/>
      <c r="P23" s="22"/>
      <c r="Q23" s="23">
        <f t="shared" si="4"/>
        <v>0</v>
      </c>
      <c r="R23" s="22"/>
      <c r="S23" s="24">
        <f t="shared" si="5"/>
        <v>0</v>
      </c>
      <c r="T23" s="24">
        <f t="shared" si="13"/>
        <v>0</v>
      </c>
      <c r="U23" s="25">
        <f t="shared" si="6"/>
        <v>0</v>
      </c>
      <c r="V23" s="26"/>
      <c r="W23" s="27"/>
      <c r="X23" s="27"/>
      <c r="Y23" s="27"/>
      <c r="Z23" s="24">
        <f t="shared" si="7"/>
        <v>0</v>
      </c>
      <c r="AA23" s="27"/>
      <c r="AB23" s="28">
        <f t="shared" ref="AB23:AC23" si="26">IFERROR(V23/J23, 0)</f>
        <v>0</v>
      </c>
      <c r="AC23" s="28">
        <f t="shared" si="26"/>
        <v>0</v>
      </c>
      <c r="AD23" s="28">
        <f t="shared" ref="AD23:AE23" si="27">IFERROR(Z23/O23, 0)</f>
        <v>0</v>
      </c>
      <c r="AE23" s="28">
        <f t="shared" si="27"/>
        <v>0</v>
      </c>
      <c r="AF23" s="28">
        <f t="shared" si="10"/>
        <v>0</v>
      </c>
      <c r="AG23" s="26"/>
      <c r="AH23" s="27"/>
      <c r="AI23" s="27"/>
      <c r="AJ23" s="27"/>
      <c r="AK23" s="27"/>
      <c r="AL23" s="29"/>
      <c r="AM23" s="25">
        <f t="shared" si="11"/>
        <v>0</v>
      </c>
      <c r="AN23" s="26"/>
      <c r="AO23" s="30">
        <f t="shared" si="12"/>
        <v>0</v>
      </c>
    </row>
    <row r="24" spans="1:41" ht="15.75" customHeight="1" x14ac:dyDescent="0.2">
      <c r="A24" s="19"/>
      <c r="B24" s="20"/>
      <c r="C24" s="21"/>
      <c r="D24" s="22"/>
      <c r="E24" s="23">
        <f t="shared" si="0"/>
        <v>0</v>
      </c>
      <c r="F24" s="22"/>
      <c r="G24" s="22"/>
      <c r="H24" s="23">
        <f t="shared" si="1"/>
        <v>0</v>
      </c>
      <c r="I24" s="22"/>
      <c r="J24" s="22"/>
      <c r="K24" s="22"/>
      <c r="L24" s="23">
        <f t="shared" si="2"/>
        <v>0</v>
      </c>
      <c r="M24" s="22"/>
      <c r="N24" s="24">
        <f t="shared" si="3"/>
        <v>0</v>
      </c>
      <c r="O24" s="22"/>
      <c r="P24" s="22"/>
      <c r="Q24" s="23">
        <f t="shared" si="4"/>
        <v>0</v>
      </c>
      <c r="R24" s="22"/>
      <c r="S24" s="24">
        <f t="shared" si="5"/>
        <v>0</v>
      </c>
      <c r="T24" s="24">
        <f t="shared" si="13"/>
        <v>0</v>
      </c>
      <c r="U24" s="25">
        <f t="shared" si="6"/>
        <v>0</v>
      </c>
      <c r="V24" s="26"/>
      <c r="W24" s="27"/>
      <c r="X24" s="27"/>
      <c r="Y24" s="27"/>
      <c r="Z24" s="24">
        <f t="shared" si="7"/>
        <v>0</v>
      </c>
      <c r="AA24" s="27"/>
      <c r="AB24" s="28">
        <f t="shared" ref="AB24:AC24" si="28">IFERROR(V24/J24, 0)</f>
        <v>0</v>
      </c>
      <c r="AC24" s="28">
        <f t="shared" si="28"/>
        <v>0</v>
      </c>
      <c r="AD24" s="28">
        <f t="shared" ref="AD24:AE24" si="29">IFERROR(Z24/O24, 0)</f>
        <v>0</v>
      </c>
      <c r="AE24" s="28">
        <f t="shared" si="29"/>
        <v>0</v>
      </c>
      <c r="AF24" s="28">
        <f t="shared" si="10"/>
        <v>0</v>
      </c>
      <c r="AG24" s="26"/>
      <c r="AH24" s="27"/>
      <c r="AI24" s="27"/>
      <c r="AJ24" s="27"/>
      <c r="AK24" s="27"/>
      <c r="AL24" s="29"/>
      <c r="AM24" s="25">
        <f t="shared" si="11"/>
        <v>0</v>
      </c>
      <c r="AN24" s="26"/>
      <c r="AO24" s="30">
        <f t="shared" si="12"/>
        <v>0</v>
      </c>
    </row>
    <row r="25" spans="1:41" ht="15.75" customHeight="1" x14ac:dyDescent="0.2">
      <c r="A25" s="19"/>
      <c r="B25" s="20"/>
      <c r="C25" s="21"/>
      <c r="D25" s="22"/>
      <c r="E25" s="23">
        <f t="shared" si="0"/>
        <v>0</v>
      </c>
      <c r="F25" s="22"/>
      <c r="G25" s="22"/>
      <c r="H25" s="23">
        <f t="shared" si="1"/>
        <v>0</v>
      </c>
      <c r="I25" s="22"/>
      <c r="J25" s="22"/>
      <c r="K25" s="22"/>
      <c r="L25" s="23">
        <f t="shared" si="2"/>
        <v>0</v>
      </c>
      <c r="M25" s="22"/>
      <c r="N25" s="24">
        <f t="shared" si="3"/>
        <v>0</v>
      </c>
      <c r="O25" s="22"/>
      <c r="P25" s="22"/>
      <c r="Q25" s="23">
        <f t="shared" si="4"/>
        <v>0</v>
      </c>
      <c r="R25" s="22"/>
      <c r="S25" s="24">
        <f t="shared" si="5"/>
        <v>0</v>
      </c>
      <c r="T25" s="24">
        <f t="shared" si="13"/>
        <v>0</v>
      </c>
      <c r="U25" s="25">
        <f t="shared" si="6"/>
        <v>0</v>
      </c>
      <c r="V25" s="26"/>
      <c r="W25" s="27"/>
      <c r="X25" s="27"/>
      <c r="Y25" s="27"/>
      <c r="Z25" s="24">
        <f t="shared" si="7"/>
        <v>0</v>
      </c>
      <c r="AA25" s="27"/>
      <c r="AB25" s="28">
        <f t="shared" ref="AB25:AC25" si="30">IFERROR(V25/J25, 0)</f>
        <v>0</v>
      </c>
      <c r="AC25" s="28">
        <f t="shared" si="30"/>
        <v>0</v>
      </c>
      <c r="AD25" s="28">
        <f t="shared" ref="AD25:AE25" si="31">IFERROR(Z25/O25, 0)</f>
        <v>0</v>
      </c>
      <c r="AE25" s="28">
        <f t="shared" si="31"/>
        <v>0</v>
      </c>
      <c r="AF25" s="28">
        <f t="shared" si="10"/>
        <v>0</v>
      </c>
      <c r="AG25" s="26"/>
      <c r="AH25" s="27"/>
      <c r="AI25" s="27"/>
      <c r="AJ25" s="27"/>
      <c r="AK25" s="27"/>
      <c r="AL25" s="29"/>
      <c r="AM25" s="25">
        <f t="shared" si="11"/>
        <v>0</v>
      </c>
      <c r="AN25" s="26"/>
      <c r="AO25" s="30">
        <f t="shared" si="12"/>
        <v>0</v>
      </c>
    </row>
    <row r="26" spans="1:41" ht="15.75" customHeight="1" x14ac:dyDescent="0.2">
      <c r="A26" s="19"/>
      <c r="B26" s="20"/>
      <c r="C26" s="21"/>
      <c r="D26" s="22"/>
      <c r="E26" s="23">
        <f t="shared" si="0"/>
        <v>0</v>
      </c>
      <c r="F26" s="22"/>
      <c r="G26" s="22"/>
      <c r="H26" s="23">
        <f t="shared" si="1"/>
        <v>0</v>
      </c>
      <c r="I26" s="22"/>
      <c r="J26" s="22"/>
      <c r="K26" s="22"/>
      <c r="L26" s="23">
        <f t="shared" si="2"/>
        <v>0</v>
      </c>
      <c r="M26" s="22"/>
      <c r="N26" s="24">
        <f t="shared" si="3"/>
        <v>0</v>
      </c>
      <c r="O26" s="22"/>
      <c r="P26" s="22"/>
      <c r="Q26" s="23">
        <f t="shared" si="4"/>
        <v>0</v>
      </c>
      <c r="R26" s="22"/>
      <c r="S26" s="24">
        <f t="shared" si="5"/>
        <v>0</v>
      </c>
      <c r="T26" s="24">
        <f t="shared" si="13"/>
        <v>0</v>
      </c>
      <c r="U26" s="25">
        <f t="shared" si="6"/>
        <v>0</v>
      </c>
      <c r="V26" s="26"/>
      <c r="W26" s="27"/>
      <c r="X26" s="27"/>
      <c r="Y26" s="27"/>
      <c r="Z26" s="24">
        <f t="shared" si="7"/>
        <v>0</v>
      </c>
      <c r="AA26" s="27"/>
      <c r="AB26" s="28">
        <f t="shared" ref="AB26:AC26" si="32">IFERROR(V26/J26, 0)</f>
        <v>0</v>
      </c>
      <c r="AC26" s="28">
        <f t="shared" si="32"/>
        <v>0</v>
      </c>
      <c r="AD26" s="28">
        <f t="shared" ref="AD26:AE26" si="33">IFERROR(Z26/O26, 0)</f>
        <v>0</v>
      </c>
      <c r="AE26" s="28">
        <f t="shared" si="33"/>
        <v>0</v>
      </c>
      <c r="AF26" s="28">
        <f t="shared" si="10"/>
        <v>0</v>
      </c>
      <c r="AG26" s="26"/>
      <c r="AH26" s="27"/>
      <c r="AI26" s="27"/>
      <c r="AJ26" s="27"/>
      <c r="AK26" s="27"/>
      <c r="AL26" s="29"/>
      <c r="AM26" s="25">
        <f t="shared" si="11"/>
        <v>0</v>
      </c>
      <c r="AN26" s="26"/>
      <c r="AO26" s="30">
        <f t="shared" si="12"/>
        <v>0</v>
      </c>
    </row>
    <row r="27" spans="1:41" ht="15.75" customHeight="1" x14ac:dyDescent="0.2">
      <c r="A27" s="19"/>
      <c r="B27" s="20"/>
      <c r="C27" s="21"/>
      <c r="D27" s="22"/>
      <c r="E27" s="23">
        <f t="shared" si="0"/>
        <v>0</v>
      </c>
      <c r="F27" s="22"/>
      <c r="G27" s="22"/>
      <c r="H27" s="23">
        <f t="shared" si="1"/>
        <v>0</v>
      </c>
      <c r="I27" s="22"/>
      <c r="J27" s="22"/>
      <c r="K27" s="22"/>
      <c r="L27" s="23">
        <f t="shared" si="2"/>
        <v>0</v>
      </c>
      <c r="M27" s="22"/>
      <c r="N27" s="24">
        <f t="shared" si="3"/>
        <v>0</v>
      </c>
      <c r="O27" s="22"/>
      <c r="P27" s="22"/>
      <c r="Q27" s="23">
        <f t="shared" si="4"/>
        <v>0</v>
      </c>
      <c r="R27" s="22"/>
      <c r="S27" s="24">
        <f t="shared" si="5"/>
        <v>0</v>
      </c>
      <c r="T27" s="24">
        <f t="shared" si="13"/>
        <v>0</v>
      </c>
      <c r="U27" s="25">
        <f t="shared" si="6"/>
        <v>0</v>
      </c>
      <c r="V27" s="26"/>
      <c r="W27" s="27"/>
      <c r="X27" s="27"/>
      <c r="Y27" s="27"/>
      <c r="Z27" s="24">
        <f t="shared" si="7"/>
        <v>0</v>
      </c>
      <c r="AA27" s="27"/>
      <c r="AB27" s="28">
        <f t="shared" ref="AB27:AC27" si="34">IFERROR(V27/J27, 0)</f>
        <v>0</v>
      </c>
      <c r="AC27" s="28">
        <f t="shared" si="34"/>
        <v>0</v>
      </c>
      <c r="AD27" s="28">
        <f t="shared" ref="AD27:AE27" si="35">IFERROR(Z27/O27, 0)</f>
        <v>0</v>
      </c>
      <c r="AE27" s="28">
        <f t="shared" si="35"/>
        <v>0</v>
      </c>
      <c r="AF27" s="28">
        <f t="shared" si="10"/>
        <v>0</v>
      </c>
      <c r="AG27" s="26"/>
      <c r="AH27" s="27"/>
      <c r="AI27" s="27"/>
      <c r="AJ27" s="27"/>
      <c r="AK27" s="27"/>
      <c r="AL27" s="29"/>
      <c r="AM27" s="25">
        <f t="shared" si="11"/>
        <v>0</v>
      </c>
      <c r="AN27" s="26"/>
      <c r="AO27" s="30">
        <f t="shared" si="12"/>
        <v>0</v>
      </c>
    </row>
    <row r="28" spans="1:41" ht="15.75" customHeight="1" x14ac:dyDescent="0.2">
      <c r="A28" s="19"/>
      <c r="B28" s="20"/>
      <c r="C28" s="21"/>
      <c r="D28" s="22"/>
      <c r="E28" s="23">
        <f t="shared" si="0"/>
        <v>0</v>
      </c>
      <c r="F28" s="22"/>
      <c r="G28" s="22"/>
      <c r="H28" s="23">
        <f t="shared" si="1"/>
        <v>0</v>
      </c>
      <c r="I28" s="22"/>
      <c r="J28" s="22"/>
      <c r="K28" s="22"/>
      <c r="L28" s="23">
        <f t="shared" si="2"/>
        <v>0</v>
      </c>
      <c r="M28" s="22"/>
      <c r="N28" s="24">
        <f t="shared" si="3"/>
        <v>0</v>
      </c>
      <c r="O28" s="22"/>
      <c r="P28" s="22"/>
      <c r="Q28" s="23">
        <f t="shared" si="4"/>
        <v>0</v>
      </c>
      <c r="R28" s="22"/>
      <c r="S28" s="24">
        <f t="shared" si="5"/>
        <v>0</v>
      </c>
      <c r="T28" s="24">
        <f t="shared" si="13"/>
        <v>0</v>
      </c>
      <c r="U28" s="25">
        <f t="shared" si="6"/>
        <v>0</v>
      </c>
      <c r="V28" s="26"/>
      <c r="W28" s="27"/>
      <c r="X28" s="27"/>
      <c r="Y28" s="27"/>
      <c r="Z28" s="24">
        <f t="shared" si="7"/>
        <v>0</v>
      </c>
      <c r="AA28" s="27"/>
      <c r="AB28" s="28">
        <f t="shared" ref="AB28:AC28" si="36">IFERROR(V28/J28, 0)</f>
        <v>0</v>
      </c>
      <c r="AC28" s="28">
        <f t="shared" si="36"/>
        <v>0</v>
      </c>
      <c r="AD28" s="28">
        <f t="shared" ref="AD28:AE28" si="37">IFERROR(Z28/O28, 0)</f>
        <v>0</v>
      </c>
      <c r="AE28" s="28">
        <f t="shared" si="37"/>
        <v>0</v>
      </c>
      <c r="AF28" s="28">
        <f t="shared" si="10"/>
        <v>0</v>
      </c>
      <c r="AG28" s="26"/>
      <c r="AH28" s="27"/>
      <c r="AI28" s="27"/>
      <c r="AJ28" s="27"/>
      <c r="AK28" s="27"/>
      <c r="AL28" s="29"/>
      <c r="AM28" s="25">
        <f t="shared" si="11"/>
        <v>0</v>
      </c>
      <c r="AN28" s="26"/>
      <c r="AO28" s="30">
        <f t="shared" si="12"/>
        <v>0</v>
      </c>
    </row>
    <row r="29" spans="1:41" ht="15.75" customHeight="1" x14ac:dyDescent="0.2">
      <c r="A29" s="19"/>
      <c r="B29" s="20"/>
      <c r="C29" s="21"/>
      <c r="D29" s="22"/>
      <c r="E29" s="23">
        <f t="shared" si="0"/>
        <v>0</v>
      </c>
      <c r="F29" s="22"/>
      <c r="G29" s="22"/>
      <c r="H29" s="23">
        <f t="shared" si="1"/>
        <v>0</v>
      </c>
      <c r="I29" s="22"/>
      <c r="J29" s="22"/>
      <c r="K29" s="22"/>
      <c r="L29" s="23">
        <f t="shared" si="2"/>
        <v>0</v>
      </c>
      <c r="M29" s="22"/>
      <c r="N29" s="24">
        <f t="shared" si="3"/>
        <v>0</v>
      </c>
      <c r="O29" s="22"/>
      <c r="P29" s="22"/>
      <c r="Q29" s="23">
        <f t="shared" si="4"/>
        <v>0</v>
      </c>
      <c r="R29" s="22"/>
      <c r="S29" s="24">
        <f t="shared" si="5"/>
        <v>0</v>
      </c>
      <c r="T29" s="24">
        <f t="shared" si="13"/>
        <v>0</v>
      </c>
      <c r="U29" s="25">
        <f t="shared" si="6"/>
        <v>0</v>
      </c>
      <c r="V29" s="26"/>
      <c r="W29" s="27"/>
      <c r="X29" s="27"/>
      <c r="Y29" s="27"/>
      <c r="Z29" s="24">
        <f t="shared" si="7"/>
        <v>0</v>
      </c>
      <c r="AA29" s="27"/>
      <c r="AB29" s="28">
        <f t="shared" ref="AB29:AC29" si="38">IFERROR(V29/J29, 0)</f>
        <v>0</v>
      </c>
      <c r="AC29" s="28">
        <f t="shared" si="38"/>
        <v>0</v>
      </c>
      <c r="AD29" s="28">
        <f t="shared" ref="AD29:AE29" si="39">IFERROR(Z29/O29, 0)</f>
        <v>0</v>
      </c>
      <c r="AE29" s="28">
        <f t="shared" si="39"/>
        <v>0</v>
      </c>
      <c r="AF29" s="28">
        <f t="shared" si="10"/>
        <v>0</v>
      </c>
      <c r="AG29" s="26"/>
      <c r="AH29" s="27"/>
      <c r="AI29" s="27"/>
      <c r="AJ29" s="27"/>
      <c r="AK29" s="27"/>
      <c r="AL29" s="29"/>
      <c r="AM29" s="25">
        <f t="shared" si="11"/>
        <v>0</v>
      </c>
      <c r="AN29" s="26"/>
      <c r="AO29" s="30">
        <f t="shared" si="12"/>
        <v>0</v>
      </c>
    </row>
    <row r="30" spans="1:41" ht="15.75" customHeight="1" x14ac:dyDescent="0.2">
      <c r="A30" s="19"/>
      <c r="B30" s="20"/>
      <c r="C30" s="21"/>
      <c r="D30" s="22"/>
      <c r="E30" s="23">
        <f t="shared" si="0"/>
        <v>0</v>
      </c>
      <c r="F30" s="22"/>
      <c r="G30" s="22"/>
      <c r="H30" s="23">
        <f t="shared" si="1"/>
        <v>0</v>
      </c>
      <c r="I30" s="22"/>
      <c r="J30" s="22"/>
      <c r="K30" s="22"/>
      <c r="L30" s="23">
        <f t="shared" si="2"/>
        <v>0</v>
      </c>
      <c r="M30" s="22"/>
      <c r="N30" s="24">
        <f t="shared" si="3"/>
        <v>0</v>
      </c>
      <c r="O30" s="22"/>
      <c r="P30" s="22"/>
      <c r="Q30" s="23">
        <f t="shared" si="4"/>
        <v>0</v>
      </c>
      <c r="R30" s="22"/>
      <c r="S30" s="24">
        <f t="shared" si="5"/>
        <v>0</v>
      </c>
      <c r="T30" s="24">
        <f t="shared" si="13"/>
        <v>0</v>
      </c>
      <c r="U30" s="25">
        <f t="shared" si="6"/>
        <v>0</v>
      </c>
      <c r="V30" s="26"/>
      <c r="W30" s="27"/>
      <c r="X30" s="27"/>
      <c r="Y30" s="27"/>
      <c r="Z30" s="24">
        <f t="shared" si="7"/>
        <v>0</v>
      </c>
      <c r="AA30" s="27"/>
      <c r="AB30" s="28">
        <f t="shared" ref="AB30:AC30" si="40">IFERROR(V30/J30, 0)</f>
        <v>0</v>
      </c>
      <c r="AC30" s="28">
        <f t="shared" si="40"/>
        <v>0</v>
      </c>
      <c r="AD30" s="28">
        <f t="shared" ref="AD30:AE30" si="41">IFERROR(Z30/O30, 0)</f>
        <v>0</v>
      </c>
      <c r="AE30" s="28">
        <f t="shared" si="41"/>
        <v>0</v>
      </c>
      <c r="AF30" s="28">
        <f t="shared" si="10"/>
        <v>0</v>
      </c>
      <c r="AG30" s="26"/>
      <c r="AH30" s="27"/>
      <c r="AI30" s="27"/>
      <c r="AJ30" s="27"/>
      <c r="AK30" s="27"/>
      <c r="AL30" s="29"/>
      <c r="AM30" s="25">
        <f t="shared" si="11"/>
        <v>0</v>
      </c>
      <c r="AN30" s="26"/>
      <c r="AO30" s="30">
        <f t="shared" si="12"/>
        <v>0</v>
      </c>
    </row>
    <row r="31" spans="1:41" ht="15.75" customHeight="1" x14ac:dyDescent="0.2">
      <c r="A31" s="19"/>
      <c r="B31" s="20"/>
      <c r="C31" s="21"/>
      <c r="D31" s="22"/>
      <c r="E31" s="23">
        <f t="shared" si="0"/>
        <v>0</v>
      </c>
      <c r="F31" s="22"/>
      <c r="G31" s="22"/>
      <c r="H31" s="23">
        <f t="shared" si="1"/>
        <v>0</v>
      </c>
      <c r="I31" s="22"/>
      <c r="J31" s="22"/>
      <c r="K31" s="22"/>
      <c r="L31" s="23">
        <f t="shared" si="2"/>
        <v>0</v>
      </c>
      <c r="M31" s="22"/>
      <c r="N31" s="24">
        <f t="shared" si="3"/>
        <v>0</v>
      </c>
      <c r="O31" s="22"/>
      <c r="P31" s="22"/>
      <c r="Q31" s="23">
        <f t="shared" si="4"/>
        <v>0</v>
      </c>
      <c r="R31" s="22"/>
      <c r="S31" s="24">
        <f t="shared" si="5"/>
        <v>0</v>
      </c>
      <c r="T31" s="24">
        <f t="shared" si="13"/>
        <v>0</v>
      </c>
      <c r="U31" s="25">
        <f t="shared" si="6"/>
        <v>0</v>
      </c>
      <c r="V31" s="26"/>
      <c r="W31" s="27"/>
      <c r="X31" s="27"/>
      <c r="Y31" s="27"/>
      <c r="Z31" s="24">
        <f t="shared" si="7"/>
        <v>0</v>
      </c>
      <c r="AA31" s="27"/>
      <c r="AB31" s="28">
        <f t="shared" ref="AB31:AC31" si="42">IFERROR(V31/J31, 0)</f>
        <v>0</v>
      </c>
      <c r="AC31" s="28">
        <f t="shared" si="42"/>
        <v>0</v>
      </c>
      <c r="AD31" s="28">
        <f t="shared" ref="AD31:AE31" si="43">IFERROR(Z31/O31, 0)</f>
        <v>0</v>
      </c>
      <c r="AE31" s="28">
        <f t="shared" si="43"/>
        <v>0</v>
      </c>
      <c r="AF31" s="28">
        <f t="shared" si="10"/>
        <v>0</v>
      </c>
      <c r="AG31" s="26"/>
      <c r="AH31" s="27"/>
      <c r="AI31" s="27"/>
      <c r="AJ31" s="27"/>
      <c r="AK31" s="27"/>
      <c r="AL31" s="29"/>
      <c r="AM31" s="25">
        <f t="shared" si="11"/>
        <v>0</v>
      </c>
      <c r="AN31" s="26"/>
      <c r="AO31" s="30">
        <f t="shared" si="12"/>
        <v>0</v>
      </c>
    </row>
    <row r="32" spans="1:41" ht="15.75" customHeight="1" x14ac:dyDescent="0.2">
      <c r="A32" s="19"/>
      <c r="B32" s="20"/>
      <c r="C32" s="21"/>
      <c r="D32" s="22"/>
      <c r="E32" s="23">
        <f t="shared" si="0"/>
        <v>0</v>
      </c>
      <c r="F32" s="22"/>
      <c r="G32" s="22"/>
      <c r="H32" s="23">
        <f t="shared" si="1"/>
        <v>0</v>
      </c>
      <c r="I32" s="22"/>
      <c r="J32" s="22"/>
      <c r="K32" s="22"/>
      <c r="L32" s="23">
        <f t="shared" si="2"/>
        <v>0</v>
      </c>
      <c r="M32" s="22"/>
      <c r="N32" s="24">
        <f t="shared" si="3"/>
        <v>0</v>
      </c>
      <c r="O32" s="22"/>
      <c r="P32" s="22"/>
      <c r="Q32" s="23">
        <f t="shared" si="4"/>
        <v>0</v>
      </c>
      <c r="R32" s="22"/>
      <c r="S32" s="24">
        <f t="shared" si="5"/>
        <v>0</v>
      </c>
      <c r="T32" s="24">
        <f t="shared" si="13"/>
        <v>0</v>
      </c>
      <c r="U32" s="25">
        <f t="shared" si="6"/>
        <v>0</v>
      </c>
      <c r="V32" s="26"/>
      <c r="W32" s="27"/>
      <c r="X32" s="27"/>
      <c r="Y32" s="27"/>
      <c r="Z32" s="24">
        <f t="shared" si="7"/>
        <v>0</v>
      </c>
      <c r="AA32" s="27"/>
      <c r="AB32" s="28">
        <f t="shared" ref="AB32:AC32" si="44">IFERROR(V32/J32, 0)</f>
        <v>0</v>
      </c>
      <c r="AC32" s="28">
        <f t="shared" si="44"/>
        <v>0</v>
      </c>
      <c r="AD32" s="28">
        <f t="shared" ref="AD32:AE32" si="45">IFERROR(Z32/O32, 0)</f>
        <v>0</v>
      </c>
      <c r="AE32" s="28">
        <f t="shared" si="45"/>
        <v>0</v>
      </c>
      <c r="AF32" s="28">
        <f t="shared" si="10"/>
        <v>0</v>
      </c>
      <c r="AG32" s="26"/>
      <c r="AH32" s="27"/>
      <c r="AI32" s="27"/>
      <c r="AJ32" s="27"/>
      <c r="AK32" s="27"/>
      <c r="AL32" s="29"/>
      <c r="AM32" s="25">
        <f t="shared" si="11"/>
        <v>0</v>
      </c>
      <c r="AN32" s="26"/>
      <c r="AO32" s="30">
        <f t="shared" si="12"/>
        <v>0</v>
      </c>
    </row>
    <row r="33" spans="1:41" ht="15.75" customHeight="1" x14ac:dyDescent="0.2">
      <c r="A33" s="19"/>
      <c r="B33" s="20"/>
      <c r="C33" s="21"/>
      <c r="D33" s="22"/>
      <c r="E33" s="23">
        <f t="shared" si="0"/>
        <v>0</v>
      </c>
      <c r="F33" s="22"/>
      <c r="G33" s="22"/>
      <c r="H33" s="23">
        <f t="shared" si="1"/>
        <v>0</v>
      </c>
      <c r="I33" s="22"/>
      <c r="J33" s="22"/>
      <c r="K33" s="22"/>
      <c r="L33" s="23">
        <f t="shared" si="2"/>
        <v>0</v>
      </c>
      <c r="M33" s="22"/>
      <c r="N33" s="24">
        <f t="shared" si="3"/>
        <v>0</v>
      </c>
      <c r="O33" s="22"/>
      <c r="P33" s="22"/>
      <c r="Q33" s="23">
        <f t="shared" si="4"/>
        <v>0</v>
      </c>
      <c r="R33" s="22"/>
      <c r="S33" s="24">
        <f t="shared" si="5"/>
        <v>0</v>
      </c>
      <c r="T33" s="24">
        <f t="shared" si="13"/>
        <v>0</v>
      </c>
      <c r="U33" s="25">
        <f t="shared" si="6"/>
        <v>0</v>
      </c>
      <c r="V33" s="26"/>
      <c r="W33" s="27"/>
      <c r="X33" s="27"/>
      <c r="Y33" s="27"/>
      <c r="Z33" s="24">
        <f t="shared" si="7"/>
        <v>0</v>
      </c>
      <c r="AA33" s="27"/>
      <c r="AB33" s="28">
        <f t="shared" ref="AB33:AC33" si="46">IFERROR(V33/J33, 0)</f>
        <v>0</v>
      </c>
      <c r="AC33" s="28">
        <f t="shared" si="46"/>
        <v>0</v>
      </c>
      <c r="AD33" s="28">
        <f t="shared" ref="AD33:AE33" si="47">IFERROR(Z33/O33, 0)</f>
        <v>0</v>
      </c>
      <c r="AE33" s="28">
        <f t="shared" si="47"/>
        <v>0</v>
      </c>
      <c r="AF33" s="28">
        <f t="shared" si="10"/>
        <v>0</v>
      </c>
      <c r="AG33" s="26"/>
      <c r="AH33" s="27"/>
      <c r="AI33" s="27"/>
      <c r="AJ33" s="27"/>
      <c r="AK33" s="27"/>
      <c r="AL33" s="29"/>
      <c r="AM33" s="25">
        <f t="shared" si="11"/>
        <v>0</v>
      </c>
      <c r="AN33" s="26"/>
      <c r="AO33" s="30">
        <f t="shared" si="12"/>
        <v>0</v>
      </c>
    </row>
    <row r="34" spans="1:41" ht="15.75" customHeight="1" x14ac:dyDescent="0.2">
      <c r="A34" s="19"/>
      <c r="B34" s="31"/>
      <c r="C34" s="26"/>
      <c r="D34" s="27"/>
      <c r="E34" s="23">
        <f t="shared" si="0"/>
        <v>0</v>
      </c>
      <c r="F34" s="27"/>
      <c r="G34" s="27"/>
      <c r="H34" s="23">
        <f t="shared" si="1"/>
        <v>0</v>
      </c>
      <c r="I34" s="27"/>
      <c r="J34" s="22"/>
      <c r="K34" s="22"/>
      <c r="L34" s="23">
        <f t="shared" si="2"/>
        <v>0</v>
      </c>
      <c r="M34" s="22"/>
      <c r="N34" s="24">
        <f t="shared" si="3"/>
        <v>0</v>
      </c>
      <c r="O34" s="22"/>
      <c r="P34" s="22"/>
      <c r="Q34" s="23">
        <f t="shared" si="4"/>
        <v>0</v>
      </c>
      <c r="R34" s="22"/>
      <c r="S34" s="24">
        <f t="shared" si="5"/>
        <v>0</v>
      </c>
      <c r="T34" s="24">
        <f t="shared" si="13"/>
        <v>0</v>
      </c>
      <c r="U34" s="25">
        <f t="shared" si="6"/>
        <v>0</v>
      </c>
      <c r="V34" s="26"/>
      <c r="W34" s="27"/>
      <c r="X34" s="27"/>
      <c r="Y34" s="27"/>
      <c r="Z34" s="24">
        <f t="shared" si="7"/>
        <v>0</v>
      </c>
      <c r="AA34" s="27"/>
      <c r="AB34" s="28">
        <f t="shared" ref="AB34:AC34" si="48">IFERROR(V34/J34, 0)</f>
        <v>0</v>
      </c>
      <c r="AC34" s="28">
        <f t="shared" si="48"/>
        <v>0</v>
      </c>
      <c r="AD34" s="28">
        <f t="shared" ref="AD34:AE34" si="49">IFERROR(Z34/O34, 0)</f>
        <v>0</v>
      </c>
      <c r="AE34" s="28">
        <f t="shared" si="49"/>
        <v>0</v>
      </c>
      <c r="AF34" s="28">
        <f t="shared" si="10"/>
        <v>0</v>
      </c>
      <c r="AG34" s="26"/>
      <c r="AH34" s="27"/>
      <c r="AI34" s="27"/>
      <c r="AJ34" s="27"/>
      <c r="AK34" s="27"/>
      <c r="AL34" s="29"/>
      <c r="AM34" s="25">
        <f t="shared" si="11"/>
        <v>0</v>
      </c>
      <c r="AN34" s="26"/>
      <c r="AO34" s="30">
        <f t="shared" si="12"/>
        <v>0</v>
      </c>
    </row>
    <row r="35" spans="1:41" ht="15.75" customHeight="1" x14ac:dyDescent="0.2">
      <c r="A35" s="32"/>
      <c r="B35" s="33"/>
      <c r="C35" s="34"/>
      <c r="D35" s="35"/>
      <c r="E35" s="36">
        <f>SUM(C35:D35)</f>
        <v>0</v>
      </c>
      <c r="F35" s="35"/>
      <c r="G35" s="35"/>
      <c r="H35" s="36">
        <f t="shared" si="1"/>
        <v>0</v>
      </c>
      <c r="I35" s="35"/>
      <c r="J35" s="35"/>
      <c r="K35" s="35"/>
      <c r="L35" s="36">
        <f t="shared" si="2"/>
        <v>0</v>
      </c>
      <c r="M35" s="35"/>
      <c r="N35" s="37">
        <f t="shared" si="3"/>
        <v>0</v>
      </c>
      <c r="O35" s="35"/>
      <c r="P35" s="35"/>
      <c r="Q35" s="36">
        <f t="shared" si="4"/>
        <v>0</v>
      </c>
      <c r="R35" s="35"/>
      <c r="S35" s="37">
        <f t="shared" si="5"/>
        <v>0</v>
      </c>
      <c r="T35" s="37">
        <f t="shared" si="13"/>
        <v>0</v>
      </c>
      <c r="U35" s="38">
        <f t="shared" si="6"/>
        <v>0</v>
      </c>
      <c r="V35" s="39"/>
      <c r="W35" s="40"/>
      <c r="X35" s="40"/>
      <c r="Y35" s="40"/>
      <c r="Z35" s="37">
        <f t="shared" si="7"/>
        <v>0</v>
      </c>
      <c r="AA35" s="40"/>
      <c r="AB35" s="41">
        <f t="shared" ref="AB35:AC35" si="50">IFERROR(V35/J35, 0)</f>
        <v>0</v>
      </c>
      <c r="AC35" s="41">
        <f t="shared" si="50"/>
        <v>0</v>
      </c>
      <c r="AD35" s="41">
        <f t="shared" ref="AD35:AE35" si="51">IFERROR(Z35/O35, 0)</f>
        <v>0</v>
      </c>
      <c r="AE35" s="41">
        <f t="shared" si="51"/>
        <v>0</v>
      </c>
      <c r="AF35" s="41">
        <f t="shared" si="10"/>
        <v>0</v>
      </c>
      <c r="AG35" s="39"/>
      <c r="AH35" s="40"/>
      <c r="AI35" s="40"/>
      <c r="AJ35" s="40"/>
      <c r="AK35" s="40"/>
      <c r="AL35" s="42"/>
      <c r="AM35" s="38">
        <f t="shared" si="11"/>
        <v>0</v>
      </c>
      <c r="AN35" s="39"/>
      <c r="AO35" s="43">
        <f t="shared" si="12"/>
        <v>0</v>
      </c>
    </row>
    <row r="36" spans="1:41" ht="15.75" customHeight="1" x14ac:dyDescent="0.2">
      <c r="A36" s="44" t="s">
        <v>54</v>
      </c>
      <c r="B36" s="45">
        <f t="shared" ref="B36:AA36" si="52">SUM(B16:B35)</f>
        <v>0</v>
      </c>
      <c r="C36" s="46">
        <f t="shared" si="52"/>
        <v>0</v>
      </c>
      <c r="D36" s="47">
        <f t="shared" si="52"/>
        <v>0</v>
      </c>
      <c r="E36" s="47">
        <f t="shared" si="52"/>
        <v>0</v>
      </c>
      <c r="F36" s="47">
        <f t="shared" si="52"/>
        <v>0</v>
      </c>
      <c r="G36" s="47">
        <f t="shared" si="52"/>
        <v>0</v>
      </c>
      <c r="H36" s="47">
        <f t="shared" si="52"/>
        <v>0</v>
      </c>
      <c r="I36" s="47">
        <f t="shared" si="52"/>
        <v>0</v>
      </c>
      <c r="J36" s="47">
        <f t="shared" si="52"/>
        <v>0</v>
      </c>
      <c r="K36" s="47">
        <f t="shared" si="52"/>
        <v>0</v>
      </c>
      <c r="L36" s="47">
        <f t="shared" si="52"/>
        <v>0</v>
      </c>
      <c r="M36" s="47">
        <f t="shared" si="52"/>
        <v>0</v>
      </c>
      <c r="N36" s="47">
        <f t="shared" si="52"/>
        <v>0</v>
      </c>
      <c r="O36" s="47">
        <f t="shared" si="52"/>
        <v>0</v>
      </c>
      <c r="P36" s="47">
        <f t="shared" si="52"/>
        <v>0</v>
      </c>
      <c r="Q36" s="47">
        <f t="shared" si="52"/>
        <v>0</v>
      </c>
      <c r="R36" s="47">
        <f t="shared" si="52"/>
        <v>0</v>
      </c>
      <c r="S36" s="47">
        <f t="shared" si="52"/>
        <v>0</v>
      </c>
      <c r="T36" s="47">
        <f t="shared" si="52"/>
        <v>0</v>
      </c>
      <c r="U36" s="48">
        <f t="shared" si="52"/>
        <v>0</v>
      </c>
      <c r="V36" s="46">
        <f t="shared" si="52"/>
        <v>0</v>
      </c>
      <c r="W36" s="47">
        <f t="shared" si="52"/>
        <v>0</v>
      </c>
      <c r="X36" s="47">
        <f t="shared" si="52"/>
        <v>0</v>
      </c>
      <c r="Y36" s="47">
        <f t="shared" si="52"/>
        <v>0</v>
      </c>
      <c r="Z36" s="47">
        <f t="shared" si="52"/>
        <v>0</v>
      </c>
      <c r="AA36" s="47">
        <f t="shared" si="52"/>
        <v>0</v>
      </c>
      <c r="AB36" s="49">
        <f t="shared" ref="AB36:AC36" si="53">IFERROR(V36/J36, 0)</f>
        <v>0</v>
      </c>
      <c r="AC36" s="49">
        <f t="shared" si="53"/>
        <v>0</v>
      </c>
      <c r="AD36" s="49">
        <f t="shared" ref="AD36:AE36" si="54">IFERROR(Z36/O36, 0)</f>
        <v>0</v>
      </c>
      <c r="AE36" s="49">
        <f t="shared" si="54"/>
        <v>0</v>
      </c>
      <c r="AF36" s="49">
        <f t="shared" si="10"/>
        <v>0</v>
      </c>
      <c r="AG36" s="46">
        <f t="shared" ref="AG36:AN36" si="55">SUM(AG16:AG35)</f>
        <v>0</v>
      </c>
      <c r="AH36" s="47">
        <f t="shared" si="55"/>
        <v>0</v>
      </c>
      <c r="AI36" s="47">
        <f t="shared" si="55"/>
        <v>0</v>
      </c>
      <c r="AJ36" s="47">
        <f t="shared" si="55"/>
        <v>0</v>
      </c>
      <c r="AK36" s="47">
        <f t="shared" si="55"/>
        <v>0</v>
      </c>
      <c r="AL36" s="47">
        <f t="shared" si="55"/>
        <v>0</v>
      </c>
      <c r="AM36" s="48">
        <f t="shared" si="55"/>
        <v>0</v>
      </c>
      <c r="AN36" s="46">
        <f t="shared" si="55"/>
        <v>0</v>
      </c>
      <c r="AO36" s="50">
        <f t="shared" si="12"/>
        <v>0</v>
      </c>
    </row>
    <row r="37" spans="1:41" ht="15.75" customHeight="1" x14ac:dyDescent="0.2">
      <c r="A37" s="51"/>
      <c r="B37" s="4"/>
      <c r="C37" s="52"/>
      <c r="D37" s="52"/>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row>
    <row r="38" spans="1:41" ht="15.75" customHeight="1" x14ac:dyDescent="0.2">
      <c r="A38" s="103" t="s">
        <v>55</v>
      </c>
      <c r="B38" s="4">
        <v>1</v>
      </c>
      <c r="C38" s="53" t="str">
        <f ca="1">IFERROR(__xludf.DUMMYFUNCTION("IF(
  COUNTUNIQUE($E$36,$H$36,$U$36,$AM$36)=1,
  ""✅ Totals of sex, age, animal bite cases, and biting animals match"",
  ""❌ Totals of sex, age, animal bite cases, and biting animals DO NOT match. Please recheck the data.""
)
"),"✅ Totals of sex, age, animal bite cases, and biting animals match")</f>
        <v>✅ Totals of sex, age, animal bite cases, and biting animals match</v>
      </c>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row>
    <row r="39" spans="1:41" ht="15.75" customHeight="1" x14ac:dyDescent="0.2">
      <c r="A39" s="88"/>
      <c r="B39" s="4">
        <v>2</v>
      </c>
      <c r="C39" s="53" t="str">
        <f>IF(
  SUMPRODUCT(--(AB16:AF36&gt;1))=0,
  "✅ PEP Coverage ≤100%",
  "❌ PEP Coverage cannot exceed 100%. "&amp;SUMPRODUCT(--(AB16:AF36&gt;1))&amp;" cell(s) exceed 100%. Please recheck the data."
)</f>
        <v>✅ PEP Coverage ≤100%</v>
      </c>
      <c r="D39" s="52"/>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row>
    <row r="40" spans="1:41" ht="15.75" customHeight="1" x14ac:dyDescent="0.2">
      <c r="A40" s="104" t="s">
        <v>68</v>
      </c>
      <c r="B40" s="88"/>
      <c r="C40" s="88"/>
      <c r="D40" s="88"/>
      <c r="E40" s="88"/>
      <c r="F40" s="88"/>
      <c r="G40" s="88"/>
      <c r="H40" s="88"/>
      <c r="I40" s="88"/>
      <c r="J40" s="88"/>
      <c r="K40" s="88"/>
      <c r="L40" s="88"/>
      <c r="M40" s="88"/>
      <c r="N40" s="88"/>
      <c r="O40" s="88"/>
      <c r="P40" s="88"/>
      <c r="Q40" s="88"/>
      <c r="R40" s="88"/>
      <c r="S40" s="88"/>
      <c r="T40" s="88"/>
      <c r="U40" s="88"/>
      <c r="V40" s="87" t="s">
        <v>69</v>
      </c>
      <c r="W40" s="88"/>
      <c r="X40" s="88"/>
      <c r="Y40" s="88"/>
      <c r="Z40" s="88"/>
      <c r="AA40" s="88"/>
      <c r="AB40" s="87" t="s">
        <v>70</v>
      </c>
      <c r="AC40" s="88"/>
      <c r="AD40" s="88"/>
      <c r="AE40" s="88"/>
      <c r="AF40" s="88"/>
      <c r="AG40" s="88"/>
      <c r="AH40" s="87" t="s">
        <v>71</v>
      </c>
      <c r="AI40" s="88"/>
      <c r="AJ40" s="88"/>
      <c r="AK40" s="88"/>
      <c r="AL40" s="88"/>
      <c r="AM40" s="88"/>
      <c r="AN40" s="88"/>
      <c r="AO40" s="88"/>
    </row>
    <row r="41" spans="1:41" ht="15.75" customHeight="1" x14ac:dyDescent="0.2"/>
    <row r="42" spans="1:41" ht="15.75" customHeight="1" x14ac:dyDescent="0.2"/>
    <row r="43" spans="1:41" ht="15.75" customHeight="1" x14ac:dyDescent="0.2"/>
    <row r="44" spans="1:41" ht="15.75" customHeight="1" x14ac:dyDescent="0.2"/>
    <row r="45" spans="1:41" ht="15.75" customHeight="1" x14ac:dyDescent="0.2"/>
    <row r="46" spans="1:41" ht="15.75" customHeight="1" x14ac:dyDescent="0.2"/>
    <row r="47" spans="1:41" ht="15.75" customHeight="1" x14ac:dyDescent="0.2"/>
    <row r="48" spans="1:41"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61">
    <mergeCell ref="T13:T15"/>
    <mergeCell ref="U13:U15"/>
    <mergeCell ref="X13:AA13"/>
    <mergeCell ref="AB13:AC13"/>
    <mergeCell ref="AN11:AO11"/>
    <mergeCell ref="AM12:AM15"/>
    <mergeCell ref="AN12:AN15"/>
    <mergeCell ref="AO12:AO15"/>
    <mergeCell ref="V13:W13"/>
    <mergeCell ref="V12:AA12"/>
    <mergeCell ref="AB12:AF12"/>
    <mergeCell ref="AG12:AI12"/>
    <mergeCell ref="AJ12:AL12"/>
    <mergeCell ref="AA14:AA15"/>
    <mergeCell ref="AB14:AB15"/>
    <mergeCell ref="AC14:AC15"/>
    <mergeCell ref="V11:AF11"/>
    <mergeCell ref="AG11:AM11"/>
    <mergeCell ref="AD13:AE13"/>
    <mergeCell ref="AF13:AF15"/>
    <mergeCell ref="AD14:AD15"/>
    <mergeCell ref="AE14:AE15"/>
    <mergeCell ref="AG13:AG15"/>
    <mergeCell ref="A1:A5"/>
    <mergeCell ref="A7:A9"/>
    <mergeCell ref="C7:F7"/>
    <mergeCell ref="J7:K7"/>
    <mergeCell ref="A11:A15"/>
    <mergeCell ref="C11:U11"/>
    <mergeCell ref="I12:U12"/>
    <mergeCell ref="C12:E12"/>
    <mergeCell ref="F12:H12"/>
    <mergeCell ref="B11:B15"/>
    <mergeCell ref="C13:C15"/>
    <mergeCell ref="D13:D15"/>
    <mergeCell ref="E13:E15"/>
    <mergeCell ref="F13:F15"/>
    <mergeCell ref="G13:G15"/>
    <mergeCell ref="H13:H15"/>
    <mergeCell ref="A40:U40"/>
    <mergeCell ref="V40:AA40"/>
    <mergeCell ref="AB40:AG40"/>
    <mergeCell ref="AH40:AO40"/>
    <mergeCell ref="N14:N15"/>
    <mergeCell ref="O14:Q14"/>
    <mergeCell ref="R14:R15"/>
    <mergeCell ref="S14:S15"/>
    <mergeCell ref="AH13:AH15"/>
    <mergeCell ref="AI13:AI15"/>
    <mergeCell ref="AJ13:AJ15"/>
    <mergeCell ref="AK13:AK15"/>
    <mergeCell ref="AL13:AL15"/>
    <mergeCell ref="V14:V15"/>
    <mergeCell ref="W14:W15"/>
    <mergeCell ref="X14:Z14"/>
    <mergeCell ref="J13:N13"/>
    <mergeCell ref="O13:S13"/>
    <mergeCell ref="J14:L14"/>
    <mergeCell ref="M14:M15"/>
    <mergeCell ref="A38:A39"/>
    <mergeCell ref="I13:I15"/>
  </mergeCells>
  <conditionalFormatting sqref="B38">
    <cfRule type="expression" dxfId="25" priority="1">
      <formula>COUNTUNIQUE($E$36,$H$36,$U$36,$AM$36)=1</formula>
    </cfRule>
    <cfRule type="expression" dxfId="24" priority="6">
      <formula>COUNTUNIQUE($E$36,$H$36,$U$36,$AM$36)&gt;1</formula>
    </cfRule>
  </conditionalFormatting>
  <conditionalFormatting sqref="B39">
    <cfRule type="expression" dxfId="23" priority="4">
      <formula>SUMPRODUCT(--(AB16:AF36&gt;1))=0</formula>
    </cfRule>
    <cfRule type="expression" dxfId="22" priority="5">
      <formula>SUMPRODUCT(--(AB16:AF36&gt;1))&gt;0</formula>
    </cfRule>
  </conditionalFormatting>
  <conditionalFormatting sqref="AB16:AF36">
    <cfRule type="expression" dxfId="21" priority="2">
      <formula>AND(AB16&lt;&gt;"", AB16&gt;1)</formula>
    </cfRule>
    <cfRule type="expression" dxfId="20" priority="3">
      <formula>AND(AB16&lt;&gt;"", AB16&gt;=0, AB16&lt;=1)</formula>
    </cfRule>
  </conditionalFormatting>
  <hyperlinks>
    <hyperlink ref="A40" r:id="rId1" xr:uid="{00000000-0004-0000-0200-000000000000}"/>
  </hyperlinks>
  <pageMargins left="0.75" right="0.75" top="1" bottom="1" header="0" footer="0"/>
  <pageSetup paperSize="14" orientation="landscape"/>
  <colBreaks count="2" manualBreakCount="2">
    <brk id="21" man="1"/>
    <brk id="41"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O1000"/>
  <sheetViews>
    <sheetView workbookViewId="0">
      <pane ySplit="15" topLeftCell="A16" activePane="bottomLeft" state="frozen"/>
      <selection pane="bottomLeft" activeCell="C11" sqref="C11:U11"/>
    </sheetView>
  </sheetViews>
  <sheetFormatPr defaultColWidth="12.5703125" defaultRowHeight="15" customHeight="1" x14ac:dyDescent="0.2"/>
  <cols>
    <col min="1" max="1" width="18.140625" customWidth="1"/>
    <col min="2" max="41" width="10.7109375" customWidth="1"/>
  </cols>
  <sheetData>
    <row r="1" spans="1:41" ht="15.75" customHeight="1" x14ac:dyDescent="0.2">
      <c r="A1" s="115"/>
      <c r="B1" s="1"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15.75" customHeight="1" x14ac:dyDescent="0.2">
      <c r="A2" s="88"/>
      <c r="B2" s="1"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row>
    <row r="3" spans="1:41" ht="15.75" customHeight="1" x14ac:dyDescent="0.2">
      <c r="A3" s="88"/>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row>
    <row r="4" spans="1:41" ht="15.75" customHeight="1" x14ac:dyDescent="0.2">
      <c r="A4" s="88"/>
      <c r="B4" s="3" t="s">
        <v>2</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row>
    <row r="5" spans="1:41" ht="15.75" customHeight="1" x14ac:dyDescent="0.2">
      <c r="A5" s="88"/>
      <c r="B5" s="3" t="s">
        <v>3</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row>
    <row r="6" spans="1:41" ht="15.75" customHeight="1" x14ac:dyDescent="0.2">
      <c r="A6" s="4"/>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row>
    <row r="7" spans="1:41" ht="15.75" customHeight="1" x14ac:dyDescent="0.2">
      <c r="A7" s="116"/>
      <c r="B7" s="3" t="s">
        <v>101</v>
      </c>
      <c r="C7" s="117"/>
      <c r="D7" s="118"/>
      <c r="E7" s="118"/>
      <c r="F7" s="118"/>
      <c r="H7" s="3" t="s">
        <v>4</v>
      </c>
      <c r="I7" s="3"/>
      <c r="J7" s="117" t="s">
        <v>72</v>
      </c>
      <c r="K7" s="118"/>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row>
    <row r="8" spans="1:41" ht="15.75" customHeight="1" x14ac:dyDescent="0.2">
      <c r="A8" s="88"/>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row>
    <row r="9" spans="1:41" ht="15.75" customHeight="1" x14ac:dyDescent="0.2">
      <c r="A9" s="88"/>
      <c r="B9" s="5" t="s">
        <v>73</v>
      </c>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row>
    <row r="10" spans="1:41" ht="15.75" customHeight="1" x14ac:dyDescent="0.2">
      <c r="A10" s="4"/>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row>
    <row r="11" spans="1:41" ht="15.75" customHeight="1" x14ac:dyDescent="0.2">
      <c r="A11" s="119" t="s">
        <v>100</v>
      </c>
      <c r="B11" s="119" t="s">
        <v>8</v>
      </c>
      <c r="C11" s="110" t="s">
        <v>9</v>
      </c>
      <c r="D11" s="111"/>
      <c r="E11" s="111"/>
      <c r="F11" s="111"/>
      <c r="G11" s="111"/>
      <c r="H11" s="111"/>
      <c r="I11" s="111"/>
      <c r="J11" s="111"/>
      <c r="K11" s="111"/>
      <c r="L11" s="111"/>
      <c r="M11" s="111"/>
      <c r="N11" s="111"/>
      <c r="O11" s="111"/>
      <c r="P11" s="111"/>
      <c r="Q11" s="111"/>
      <c r="R11" s="111"/>
      <c r="S11" s="111"/>
      <c r="T11" s="111"/>
      <c r="U11" s="112"/>
      <c r="V11" s="110" t="s">
        <v>10</v>
      </c>
      <c r="W11" s="111"/>
      <c r="X11" s="111"/>
      <c r="Y11" s="111"/>
      <c r="Z11" s="111"/>
      <c r="AA11" s="111"/>
      <c r="AB11" s="111"/>
      <c r="AC11" s="111"/>
      <c r="AD11" s="111"/>
      <c r="AE11" s="111"/>
      <c r="AF11" s="112"/>
      <c r="AG11" s="110" t="s">
        <v>11</v>
      </c>
      <c r="AH11" s="111"/>
      <c r="AI11" s="111"/>
      <c r="AJ11" s="111"/>
      <c r="AK11" s="111"/>
      <c r="AL11" s="111"/>
      <c r="AM11" s="112"/>
      <c r="AN11" s="110" t="s">
        <v>12</v>
      </c>
      <c r="AO11" s="113"/>
    </row>
    <row r="12" spans="1:41" ht="15.75" customHeight="1" x14ac:dyDescent="0.2">
      <c r="A12" s="120"/>
      <c r="B12" s="120"/>
      <c r="C12" s="108" t="s">
        <v>13</v>
      </c>
      <c r="D12" s="106"/>
      <c r="E12" s="107"/>
      <c r="F12" s="105" t="s">
        <v>14</v>
      </c>
      <c r="G12" s="106"/>
      <c r="H12" s="107"/>
      <c r="I12" s="105" t="s">
        <v>15</v>
      </c>
      <c r="J12" s="106"/>
      <c r="K12" s="106"/>
      <c r="L12" s="106"/>
      <c r="M12" s="106"/>
      <c r="N12" s="106"/>
      <c r="O12" s="106"/>
      <c r="P12" s="106"/>
      <c r="Q12" s="106"/>
      <c r="R12" s="106"/>
      <c r="S12" s="106"/>
      <c r="T12" s="106"/>
      <c r="U12" s="107"/>
      <c r="V12" s="108" t="s">
        <v>16</v>
      </c>
      <c r="W12" s="106"/>
      <c r="X12" s="106"/>
      <c r="Y12" s="106"/>
      <c r="Z12" s="106"/>
      <c r="AA12" s="107"/>
      <c r="AB12" s="114" t="s">
        <v>17</v>
      </c>
      <c r="AC12" s="106"/>
      <c r="AD12" s="106"/>
      <c r="AE12" s="106"/>
      <c r="AF12" s="107"/>
      <c r="AG12" s="108" t="s">
        <v>18</v>
      </c>
      <c r="AH12" s="106"/>
      <c r="AI12" s="107"/>
      <c r="AJ12" s="105" t="s">
        <v>19</v>
      </c>
      <c r="AK12" s="106"/>
      <c r="AL12" s="107"/>
      <c r="AM12" s="94" t="s">
        <v>20</v>
      </c>
      <c r="AN12" s="97" t="s">
        <v>21</v>
      </c>
      <c r="AO12" s="100" t="s">
        <v>22</v>
      </c>
    </row>
    <row r="13" spans="1:41" ht="15.75" customHeight="1" x14ac:dyDescent="0.2">
      <c r="A13" s="120"/>
      <c r="B13" s="120"/>
      <c r="C13" s="97" t="s">
        <v>23</v>
      </c>
      <c r="D13" s="92" t="s">
        <v>24</v>
      </c>
      <c r="E13" s="92" t="s">
        <v>20</v>
      </c>
      <c r="F13" s="92" t="s">
        <v>25</v>
      </c>
      <c r="G13" s="92" t="s">
        <v>26</v>
      </c>
      <c r="H13" s="92" t="s">
        <v>20</v>
      </c>
      <c r="I13" s="92" t="s">
        <v>27</v>
      </c>
      <c r="J13" s="105" t="s">
        <v>28</v>
      </c>
      <c r="K13" s="106"/>
      <c r="L13" s="106"/>
      <c r="M13" s="106"/>
      <c r="N13" s="107"/>
      <c r="O13" s="105" t="s">
        <v>29</v>
      </c>
      <c r="P13" s="106"/>
      <c r="Q13" s="106"/>
      <c r="R13" s="106"/>
      <c r="S13" s="107"/>
      <c r="T13" s="92" t="s">
        <v>30</v>
      </c>
      <c r="U13" s="94" t="s">
        <v>31</v>
      </c>
      <c r="V13" s="108" t="s">
        <v>28</v>
      </c>
      <c r="W13" s="107"/>
      <c r="X13" s="105" t="s">
        <v>29</v>
      </c>
      <c r="Y13" s="106"/>
      <c r="Z13" s="106"/>
      <c r="AA13" s="107"/>
      <c r="AB13" s="109" t="s">
        <v>32</v>
      </c>
      <c r="AC13" s="107"/>
      <c r="AD13" s="109" t="s">
        <v>33</v>
      </c>
      <c r="AE13" s="107"/>
      <c r="AF13" s="89" t="s">
        <v>34</v>
      </c>
      <c r="AG13" s="97" t="s">
        <v>35</v>
      </c>
      <c r="AH13" s="92" t="s">
        <v>36</v>
      </c>
      <c r="AI13" s="92" t="s">
        <v>37</v>
      </c>
      <c r="AJ13" s="92" t="s">
        <v>38</v>
      </c>
      <c r="AK13" s="92" t="s">
        <v>39</v>
      </c>
      <c r="AL13" s="94" t="s">
        <v>40</v>
      </c>
      <c r="AM13" s="95"/>
      <c r="AN13" s="98"/>
      <c r="AO13" s="101"/>
    </row>
    <row r="14" spans="1:41" ht="15.75" customHeight="1" x14ac:dyDescent="0.2">
      <c r="A14" s="120"/>
      <c r="B14" s="120"/>
      <c r="C14" s="98"/>
      <c r="D14" s="93"/>
      <c r="E14" s="93"/>
      <c r="F14" s="93"/>
      <c r="G14" s="93"/>
      <c r="H14" s="93"/>
      <c r="I14" s="93"/>
      <c r="J14" s="105" t="s">
        <v>41</v>
      </c>
      <c r="K14" s="106"/>
      <c r="L14" s="107"/>
      <c r="M14" s="92" t="s">
        <v>42</v>
      </c>
      <c r="N14" s="92" t="s">
        <v>43</v>
      </c>
      <c r="O14" s="105" t="s">
        <v>41</v>
      </c>
      <c r="P14" s="106"/>
      <c r="Q14" s="107"/>
      <c r="R14" s="92" t="s">
        <v>42</v>
      </c>
      <c r="S14" s="92" t="s">
        <v>44</v>
      </c>
      <c r="T14" s="93"/>
      <c r="U14" s="95"/>
      <c r="V14" s="97" t="s">
        <v>45</v>
      </c>
      <c r="W14" s="92" t="s">
        <v>46</v>
      </c>
      <c r="X14" s="105" t="s">
        <v>47</v>
      </c>
      <c r="Y14" s="106"/>
      <c r="Z14" s="107"/>
      <c r="AA14" s="92" t="s">
        <v>48</v>
      </c>
      <c r="AB14" s="89" t="s">
        <v>45</v>
      </c>
      <c r="AC14" s="89" t="s">
        <v>46</v>
      </c>
      <c r="AD14" s="91" t="s">
        <v>49</v>
      </c>
      <c r="AE14" s="91" t="s">
        <v>50</v>
      </c>
      <c r="AF14" s="93"/>
      <c r="AG14" s="98"/>
      <c r="AH14" s="93"/>
      <c r="AI14" s="93"/>
      <c r="AJ14" s="93"/>
      <c r="AK14" s="93"/>
      <c r="AL14" s="95"/>
      <c r="AM14" s="95"/>
      <c r="AN14" s="98"/>
      <c r="AO14" s="101"/>
    </row>
    <row r="15" spans="1:41" ht="15.75" customHeight="1" x14ac:dyDescent="0.2">
      <c r="A15" s="121"/>
      <c r="B15" s="121"/>
      <c r="C15" s="99"/>
      <c r="D15" s="90"/>
      <c r="E15" s="90"/>
      <c r="F15" s="90"/>
      <c r="G15" s="90"/>
      <c r="H15" s="90"/>
      <c r="I15" s="90"/>
      <c r="J15" s="6" t="s">
        <v>45</v>
      </c>
      <c r="K15" s="6" t="s">
        <v>46</v>
      </c>
      <c r="L15" s="6" t="s">
        <v>51</v>
      </c>
      <c r="M15" s="90"/>
      <c r="N15" s="90"/>
      <c r="O15" s="6" t="s">
        <v>47</v>
      </c>
      <c r="P15" s="6" t="s">
        <v>48</v>
      </c>
      <c r="Q15" s="6" t="s">
        <v>20</v>
      </c>
      <c r="R15" s="90"/>
      <c r="S15" s="90"/>
      <c r="T15" s="90"/>
      <c r="U15" s="96"/>
      <c r="V15" s="99"/>
      <c r="W15" s="90"/>
      <c r="X15" s="6" t="s">
        <v>52</v>
      </c>
      <c r="Y15" s="6" t="s">
        <v>53</v>
      </c>
      <c r="Z15" s="6" t="s">
        <v>20</v>
      </c>
      <c r="AA15" s="90"/>
      <c r="AB15" s="90"/>
      <c r="AC15" s="90"/>
      <c r="AD15" s="90"/>
      <c r="AE15" s="90"/>
      <c r="AF15" s="90"/>
      <c r="AG15" s="99"/>
      <c r="AH15" s="90"/>
      <c r="AI15" s="90"/>
      <c r="AJ15" s="90"/>
      <c r="AK15" s="90"/>
      <c r="AL15" s="96"/>
      <c r="AM15" s="96"/>
      <c r="AN15" s="99"/>
      <c r="AO15" s="102"/>
    </row>
    <row r="16" spans="1:41" ht="15.75" customHeight="1" x14ac:dyDescent="0.2">
      <c r="A16" s="7"/>
      <c r="B16" s="8"/>
      <c r="C16" s="9"/>
      <c r="D16" s="10"/>
      <c r="E16" s="11">
        <f t="shared" ref="E16:E34" si="0">SUM(C16,D16)</f>
        <v>0</v>
      </c>
      <c r="F16" s="10"/>
      <c r="G16" s="10"/>
      <c r="H16" s="11">
        <f t="shared" ref="H16:H35" si="1">F16+G16</f>
        <v>0</v>
      </c>
      <c r="I16" s="10"/>
      <c r="J16" s="10"/>
      <c r="K16" s="10"/>
      <c r="L16" s="11">
        <f t="shared" ref="L16:L35" si="2">SUM(J16,K16)</f>
        <v>0</v>
      </c>
      <c r="M16" s="10"/>
      <c r="N16" s="12">
        <f t="shared" ref="N16:N35" si="3">SUM(M16)</f>
        <v>0</v>
      </c>
      <c r="O16" s="10"/>
      <c r="P16" s="10"/>
      <c r="Q16" s="11">
        <f t="shared" ref="Q16:Q35" si="4">SUM(O16,P16)</f>
        <v>0</v>
      </c>
      <c r="R16" s="10"/>
      <c r="S16" s="12">
        <f t="shared" ref="S16:S35" si="5">SUM(Q16,R16)</f>
        <v>0</v>
      </c>
      <c r="T16" s="12">
        <f>SUM(L16,Q16)</f>
        <v>0</v>
      </c>
      <c r="U16" s="13">
        <f t="shared" ref="U16:U35" si="6">SUM(I16,N16,S16)</f>
        <v>0</v>
      </c>
      <c r="V16" s="14"/>
      <c r="W16" s="15"/>
      <c r="X16" s="15"/>
      <c r="Y16" s="15"/>
      <c r="Z16" s="12">
        <f t="shared" ref="Z16:Z35" si="7">SUM(X16,Y16)</f>
        <v>0</v>
      </c>
      <c r="AA16" s="15"/>
      <c r="AB16" s="16">
        <f t="shared" ref="AB16:AC16" si="8">IFERROR(V16/J16, 0)</f>
        <v>0</v>
      </c>
      <c r="AC16" s="16">
        <f t="shared" si="8"/>
        <v>0</v>
      </c>
      <c r="AD16" s="16">
        <f t="shared" ref="AD16:AE16" si="9">IFERROR(Z16/O16, 0)</f>
        <v>0</v>
      </c>
      <c r="AE16" s="16">
        <f t="shared" si="9"/>
        <v>0</v>
      </c>
      <c r="AF16" s="16">
        <f t="shared" ref="AF16:AF36" si="10">IFERROR(SUM(V16,W16,Z16,AA16)/SUM(L16,Q16), 0)</f>
        <v>0</v>
      </c>
      <c r="AG16" s="14"/>
      <c r="AH16" s="15"/>
      <c r="AI16" s="15"/>
      <c r="AJ16" s="15"/>
      <c r="AK16" s="15"/>
      <c r="AL16" s="17"/>
      <c r="AM16" s="13">
        <f t="shared" ref="AM16:AM35" si="11">SUM(AG16,AH16,AI16)</f>
        <v>0</v>
      </c>
      <c r="AN16" s="14"/>
      <c r="AO16" s="18">
        <f t="shared" ref="AO16:AO36" si="12">IFERROR((AN16/B16)*1000000, 0)</f>
        <v>0</v>
      </c>
    </row>
    <row r="17" spans="1:41" ht="15.75" customHeight="1" x14ac:dyDescent="0.2">
      <c r="A17" s="19"/>
      <c r="B17" s="20"/>
      <c r="C17" s="21"/>
      <c r="D17" s="22"/>
      <c r="E17" s="23">
        <f t="shared" si="0"/>
        <v>0</v>
      </c>
      <c r="F17" s="22"/>
      <c r="G17" s="22"/>
      <c r="H17" s="23">
        <f t="shared" si="1"/>
        <v>0</v>
      </c>
      <c r="I17" s="22"/>
      <c r="J17" s="22"/>
      <c r="K17" s="22"/>
      <c r="L17" s="23">
        <f t="shared" si="2"/>
        <v>0</v>
      </c>
      <c r="M17" s="22"/>
      <c r="N17" s="24">
        <f t="shared" si="3"/>
        <v>0</v>
      </c>
      <c r="O17" s="22"/>
      <c r="P17" s="22"/>
      <c r="Q17" s="23">
        <f t="shared" si="4"/>
        <v>0</v>
      </c>
      <c r="R17" s="22"/>
      <c r="S17" s="24">
        <f t="shared" si="5"/>
        <v>0</v>
      </c>
      <c r="T17" s="24">
        <f t="shared" ref="T17:T35" si="13">SUM(J17,K17,O17,P17)</f>
        <v>0</v>
      </c>
      <c r="U17" s="25">
        <f t="shared" si="6"/>
        <v>0</v>
      </c>
      <c r="V17" s="26"/>
      <c r="W17" s="27"/>
      <c r="X17" s="27"/>
      <c r="Y17" s="27"/>
      <c r="Z17" s="24">
        <f t="shared" si="7"/>
        <v>0</v>
      </c>
      <c r="AA17" s="27"/>
      <c r="AB17" s="28">
        <f t="shared" ref="AB17:AC17" si="14">IFERROR(V17/J17, 0)</f>
        <v>0</v>
      </c>
      <c r="AC17" s="28">
        <f t="shared" si="14"/>
        <v>0</v>
      </c>
      <c r="AD17" s="28">
        <f t="shared" ref="AD17:AE17" si="15">IFERROR(Z17/O17, 0)</f>
        <v>0</v>
      </c>
      <c r="AE17" s="28">
        <f t="shared" si="15"/>
        <v>0</v>
      </c>
      <c r="AF17" s="28">
        <f t="shared" si="10"/>
        <v>0</v>
      </c>
      <c r="AG17" s="26"/>
      <c r="AH17" s="27"/>
      <c r="AI17" s="27"/>
      <c r="AJ17" s="27"/>
      <c r="AK17" s="27"/>
      <c r="AL17" s="29"/>
      <c r="AM17" s="25">
        <f t="shared" si="11"/>
        <v>0</v>
      </c>
      <c r="AN17" s="26"/>
      <c r="AO17" s="30">
        <f t="shared" si="12"/>
        <v>0</v>
      </c>
    </row>
    <row r="18" spans="1:41" ht="15.75" customHeight="1" x14ac:dyDescent="0.2">
      <c r="A18" s="19"/>
      <c r="B18" s="20"/>
      <c r="C18" s="21"/>
      <c r="D18" s="22"/>
      <c r="E18" s="23">
        <f t="shared" si="0"/>
        <v>0</v>
      </c>
      <c r="F18" s="22"/>
      <c r="G18" s="22"/>
      <c r="H18" s="23">
        <f t="shared" si="1"/>
        <v>0</v>
      </c>
      <c r="I18" s="22"/>
      <c r="J18" s="22"/>
      <c r="K18" s="22"/>
      <c r="L18" s="23">
        <f t="shared" si="2"/>
        <v>0</v>
      </c>
      <c r="M18" s="22"/>
      <c r="N18" s="24">
        <f t="shared" si="3"/>
        <v>0</v>
      </c>
      <c r="O18" s="22"/>
      <c r="P18" s="22"/>
      <c r="Q18" s="23">
        <f t="shared" si="4"/>
        <v>0</v>
      </c>
      <c r="R18" s="22"/>
      <c r="S18" s="24">
        <f t="shared" si="5"/>
        <v>0</v>
      </c>
      <c r="T18" s="24">
        <f t="shared" si="13"/>
        <v>0</v>
      </c>
      <c r="U18" s="25">
        <f t="shared" si="6"/>
        <v>0</v>
      </c>
      <c r="V18" s="26"/>
      <c r="W18" s="27"/>
      <c r="X18" s="27"/>
      <c r="Y18" s="27"/>
      <c r="Z18" s="24">
        <f t="shared" si="7"/>
        <v>0</v>
      </c>
      <c r="AA18" s="27"/>
      <c r="AB18" s="28">
        <f t="shared" ref="AB18:AC18" si="16">IFERROR(V18/J18, 0)</f>
        <v>0</v>
      </c>
      <c r="AC18" s="28">
        <f t="shared" si="16"/>
        <v>0</v>
      </c>
      <c r="AD18" s="28">
        <f t="shared" ref="AD18:AE18" si="17">IFERROR(Z18/O18, 0)</f>
        <v>0</v>
      </c>
      <c r="AE18" s="28">
        <f t="shared" si="17"/>
        <v>0</v>
      </c>
      <c r="AF18" s="28">
        <f t="shared" si="10"/>
        <v>0</v>
      </c>
      <c r="AG18" s="26"/>
      <c r="AH18" s="27"/>
      <c r="AI18" s="27"/>
      <c r="AJ18" s="27"/>
      <c r="AK18" s="27"/>
      <c r="AL18" s="29"/>
      <c r="AM18" s="25">
        <f t="shared" si="11"/>
        <v>0</v>
      </c>
      <c r="AN18" s="26"/>
      <c r="AO18" s="30">
        <f t="shared" si="12"/>
        <v>0</v>
      </c>
    </row>
    <row r="19" spans="1:41" ht="15.75" customHeight="1" x14ac:dyDescent="0.2">
      <c r="A19" s="19"/>
      <c r="B19" s="20"/>
      <c r="C19" s="21"/>
      <c r="D19" s="22"/>
      <c r="E19" s="23">
        <f t="shared" si="0"/>
        <v>0</v>
      </c>
      <c r="F19" s="22"/>
      <c r="G19" s="22"/>
      <c r="H19" s="23">
        <f t="shared" si="1"/>
        <v>0</v>
      </c>
      <c r="I19" s="22"/>
      <c r="J19" s="22"/>
      <c r="K19" s="22"/>
      <c r="L19" s="23">
        <f t="shared" si="2"/>
        <v>0</v>
      </c>
      <c r="M19" s="22"/>
      <c r="N19" s="24">
        <f t="shared" si="3"/>
        <v>0</v>
      </c>
      <c r="O19" s="22"/>
      <c r="P19" s="22"/>
      <c r="Q19" s="23">
        <f t="shared" si="4"/>
        <v>0</v>
      </c>
      <c r="R19" s="22"/>
      <c r="S19" s="24">
        <f t="shared" si="5"/>
        <v>0</v>
      </c>
      <c r="T19" s="24">
        <f t="shared" si="13"/>
        <v>0</v>
      </c>
      <c r="U19" s="25">
        <f t="shared" si="6"/>
        <v>0</v>
      </c>
      <c r="V19" s="26"/>
      <c r="W19" s="27"/>
      <c r="X19" s="27"/>
      <c r="Y19" s="27"/>
      <c r="Z19" s="24">
        <f t="shared" si="7"/>
        <v>0</v>
      </c>
      <c r="AA19" s="27"/>
      <c r="AB19" s="28">
        <f t="shared" ref="AB19:AC19" si="18">IFERROR(V19/J19, 0)</f>
        <v>0</v>
      </c>
      <c r="AC19" s="28">
        <f t="shared" si="18"/>
        <v>0</v>
      </c>
      <c r="AD19" s="28">
        <f t="shared" ref="AD19:AE19" si="19">IFERROR(Z19/O19, 0)</f>
        <v>0</v>
      </c>
      <c r="AE19" s="28">
        <f t="shared" si="19"/>
        <v>0</v>
      </c>
      <c r="AF19" s="28">
        <f t="shared" si="10"/>
        <v>0</v>
      </c>
      <c r="AG19" s="26"/>
      <c r="AH19" s="27"/>
      <c r="AI19" s="27"/>
      <c r="AJ19" s="27"/>
      <c r="AK19" s="27"/>
      <c r="AL19" s="29"/>
      <c r="AM19" s="25">
        <f t="shared" si="11"/>
        <v>0</v>
      </c>
      <c r="AN19" s="26"/>
      <c r="AO19" s="30">
        <f t="shared" si="12"/>
        <v>0</v>
      </c>
    </row>
    <row r="20" spans="1:41" ht="15.75" customHeight="1" x14ac:dyDescent="0.2">
      <c r="A20" s="19"/>
      <c r="B20" s="20"/>
      <c r="C20" s="21"/>
      <c r="D20" s="22"/>
      <c r="E20" s="23">
        <f t="shared" si="0"/>
        <v>0</v>
      </c>
      <c r="F20" s="22"/>
      <c r="G20" s="22"/>
      <c r="H20" s="23">
        <f t="shared" si="1"/>
        <v>0</v>
      </c>
      <c r="I20" s="22"/>
      <c r="J20" s="22"/>
      <c r="K20" s="22"/>
      <c r="L20" s="23">
        <f t="shared" si="2"/>
        <v>0</v>
      </c>
      <c r="M20" s="22"/>
      <c r="N20" s="24">
        <f t="shared" si="3"/>
        <v>0</v>
      </c>
      <c r="O20" s="22"/>
      <c r="P20" s="22"/>
      <c r="Q20" s="23">
        <f t="shared" si="4"/>
        <v>0</v>
      </c>
      <c r="R20" s="22"/>
      <c r="S20" s="24">
        <f t="shared" si="5"/>
        <v>0</v>
      </c>
      <c r="T20" s="24">
        <f t="shared" si="13"/>
        <v>0</v>
      </c>
      <c r="U20" s="25">
        <f t="shared" si="6"/>
        <v>0</v>
      </c>
      <c r="V20" s="26"/>
      <c r="W20" s="27"/>
      <c r="X20" s="27"/>
      <c r="Y20" s="27"/>
      <c r="Z20" s="24">
        <f t="shared" si="7"/>
        <v>0</v>
      </c>
      <c r="AA20" s="27"/>
      <c r="AB20" s="28">
        <f t="shared" ref="AB20:AC20" si="20">IFERROR(V20/J20, 0)</f>
        <v>0</v>
      </c>
      <c r="AC20" s="28">
        <f t="shared" si="20"/>
        <v>0</v>
      </c>
      <c r="AD20" s="28">
        <f t="shared" ref="AD20:AE20" si="21">IFERROR(Z20/O20, 0)</f>
        <v>0</v>
      </c>
      <c r="AE20" s="28">
        <f t="shared" si="21"/>
        <v>0</v>
      </c>
      <c r="AF20" s="28">
        <f t="shared" si="10"/>
        <v>0</v>
      </c>
      <c r="AG20" s="26"/>
      <c r="AH20" s="27"/>
      <c r="AI20" s="27"/>
      <c r="AJ20" s="27"/>
      <c r="AK20" s="27"/>
      <c r="AL20" s="29"/>
      <c r="AM20" s="25">
        <f t="shared" si="11"/>
        <v>0</v>
      </c>
      <c r="AN20" s="26"/>
      <c r="AO20" s="30">
        <f t="shared" si="12"/>
        <v>0</v>
      </c>
    </row>
    <row r="21" spans="1:41" ht="15.75" customHeight="1" x14ac:dyDescent="0.2">
      <c r="A21" s="19"/>
      <c r="B21" s="20"/>
      <c r="C21" s="21"/>
      <c r="D21" s="22"/>
      <c r="E21" s="23">
        <f t="shared" si="0"/>
        <v>0</v>
      </c>
      <c r="F21" s="22"/>
      <c r="G21" s="22"/>
      <c r="H21" s="23">
        <f t="shared" si="1"/>
        <v>0</v>
      </c>
      <c r="I21" s="22"/>
      <c r="J21" s="22"/>
      <c r="K21" s="22"/>
      <c r="L21" s="23">
        <f t="shared" si="2"/>
        <v>0</v>
      </c>
      <c r="M21" s="22"/>
      <c r="N21" s="24">
        <f t="shared" si="3"/>
        <v>0</v>
      </c>
      <c r="O21" s="22"/>
      <c r="P21" s="22"/>
      <c r="Q21" s="23">
        <f t="shared" si="4"/>
        <v>0</v>
      </c>
      <c r="R21" s="22"/>
      <c r="S21" s="24">
        <f t="shared" si="5"/>
        <v>0</v>
      </c>
      <c r="T21" s="24">
        <f t="shared" si="13"/>
        <v>0</v>
      </c>
      <c r="U21" s="25">
        <f t="shared" si="6"/>
        <v>0</v>
      </c>
      <c r="V21" s="26"/>
      <c r="W21" s="27"/>
      <c r="X21" s="27"/>
      <c r="Y21" s="27"/>
      <c r="Z21" s="24">
        <f t="shared" si="7"/>
        <v>0</v>
      </c>
      <c r="AA21" s="27"/>
      <c r="AB21" s="28">
        <f t="shared" ref="AB21:AC21" si="22">IFERROR(V21/J21, 0)</f>
        <v>0</v>
      </c>
      <c r="AC21" s="28">
        <f t="shared" si="22"/>
        <v>0</v>
      </c>
      <c r="AD21" s="28">
        <f t="shared" ref="AD21:AE21" si="23">IFERROR(Z21/O21, 0)</f>
        <v>0</v>
      </c>
      <c r="AE21" s="28">
        <f t="shared" si="23"/>
        <v>0</v>
      </c>
      <c r="AF21" s="28">
        <f t="shared" si="10"/>
        <v>0</v>
      </c>
      <c r="AG21" s="26"/>
      <c r="AH21" s="27"/>
      <c r="AI21" s="27"/>
      <c r="AJ21" s="27"/>
      <c r="AK21" s="27"/>
      <c r="AL21" s="29"/>
      <c r="AM21" s="25">
        <f t="shared" si="11"/>
        <v>0</v>
      </c>
      <c r="AN21" s="26"/>
      <c r="AO21" s="30">
        <f t="shared" si="12"/>
        <v>0</v>
      </c>
    </row>
    <row r="22" spans="1:41" ht="15.75" customHeight="1" x14ac:dyDescent="0.2">
      <c r="A22" s="19"/>
      <c r="B22" s="20"/>
      <c r="C22" s="21"/>
      <c r="D22" s="22"/>
      <c r="E22" s="23">
        <f t="shared" si="0"/>
        <v>0</v>
      </c>
      <c r="F22" s="22"/>
      <c r="G22" s="22"/>
      <c r="H22" s="23">
        <f t="shared" si="1"/>
        <v>0</v>
      </c>
      <c r="I22" s="22"/>
      <c r="J22" s="22"/>
      <c r="K22" s="22"/>
      <c r="L22" s="23">
        <f t="shared" si="2"/>
        <v>0</v>
      </c>
      <c r="M22" s="22"/>
      <c r="N22" s="24">
        <f t="shared" si="3"/>
        <v>0</v>
      </c>
      <c r="O22" s="22"/>
      <c r="P22" s="22"/>
      <c r="Q22" s="23">
        <f t="shared" si="4"/>
        <v>0</v>
      </c>
      <c r="R22" s="22"/>
      <c r="S22" s="24">
        <f t="shared" si="5"/>
        <v>0</v>
      </c>
      <c r="T22" s="24">
        <f t="shared" si="13"/>
        <v>0</v>
      </c>
      <c r="U22" s="25">
        <f t="shared" si="6"/>
        <v>0</v>
      </c>
      <c r="V22" s="26"/>
      <c r="W22" s="27"/>
      <c r="X22" s="27"/>
      <c r="Y22" s="27"/>
      <c r="Z22" s="24">
        <f t="shared" si="7"/>
        <v>0</v>
      </c>
      <c r="AA22" s="27"/>
      <c r="AB22" s="28">
        <f t="shared" ref="AB22:AC22" si="24">IFERROR(V22/J22, 0)</f>
        <v>0</v>
      </c>
      <c r="AC22" s="28">
        <f t="shared" si="24"/>
        <v>0</v>
      </c>
      <c r="AD22" s="28">
        <f t="shared" ref="AD22:AE22" si="25">IFERROR(Z22/O22, 0)</f>
        <v>0</v>
      </c>
      <c r="AE22" s="28">
        <f t="shared" si="25"/>
        <v>0</v>
      </c>
      <c r="AF22" s="28">
        <f t="shared" si="10"/>
        <v>0</v>
      </c>
      <c r="AG22" s="26"/>
      <c r="AH22" s="27"/>
      <c r="AI22" s="27"/>
      <c r="AJ22" s="27"/>
      <c r="AK22" s="27"/>
      <c r="AL22" s="29"/>
      <c r="AM22" s="25">
        <f t="shared" si="11"/>
        <v>0</v>
      </c>
      <c r="AN22" s="26"/>
      <c r="AO22" s="30">
        <f t="shared" si="12"/>
        <v>0</v>
      </c>
    </row>
    <row r="23" spans="1:41" ht="15.75" customHeight="1" x14ac:dyDescent="0.2">
      <c r="A23" s="19"/>
      <c r="B23" s="20"/>
      <c r="C23" s="21"/>
      <c r="D23" s="22"/>
      <c r="E23" s="23">
        <f t="shared" si="0"/>
        <v>0</v>
      </c>
      <c r="F23" s="22"/>
      <c r="G23" s="22"/>
      <c r="H23" s="23">
        <f t="shared" si="1"/>
        <v>0</v>
      </c>
      <c r="I23" s="22"/>
      <c r="J23" s="22"/>
      <c r="K23" s="22"/>
      <c r="L23" s="23">
        <f t="shared" si="2"/>
        <v>0</v>
      </c>
      <c r="M23" s="22"/>
      <c r="N23" s="24">
        <f t="shared" si="3"/>
        <v>0</v>
      </c>
      <c r="O23" s="22"/>
      <c r="P23" s="22"/>
      <c r="Q23" s="23">
        <f t="shared" si="4"/>
        <v>0</v>
      </c>
      <c r="R23" s="22"/>
      <c r="S23" s="24">
        <f t="shared" si="5"/>
        <v>0</v>
      </c>
      <c r="T23" s="24">
        <f t="shared" si="13"/>
        <v>0</v>
      </c>
      <c r="U23" s="25">
        <f t="shared" si="6"/>
        <v>0</v>
      </c>
      <c r="V23" s="26"/>
      <c r="W23" s="27"/>
      <c r="X23" s="27"/>
      <c r="Y23" s="27"/>
      <c r="Z23" s="24">
        <f t="shared" si="7"/>
        <v>0</v>
      </c>
      <c r="AA23" s="27"/>
      <c r="AB23" s="28">
        <f t="shared" ref="AB23:AC23" si="26">IFERROR(V23/J23, 0)</f>
        <v>0</v>
      </c>
      <c r="AC23" s="28">
        <f t="shared" si="26"/>
        <v>0</v>
      </c>
      <c r="AD23" s="28">
        <f t="shared" ref="AD23:AE23" si="27">IFERROR(Z23/O23, 0)</f>
        <v>0</v>
      </c>
      <c r="AE23" s="28">
        <f t="shared" si="27"/>
        <v>0</v>
      </c>
      <c r="AF23" s="28">
        <f t="shared" si="10"/>
        <v>0</v>
      </c>
      <c r="AG23" s="26"/>
      <c r="AH23" s="27"/>
      <c r="AI23" s="27"/>
      <c r="AJ23" s="27"/>
      <c r="AK23" s="27"/>
      <c r="AL23" s="29"/>
      <c r="AM23" s="25">
        <f t="shared" si="11"/>
        <v>0</v>
      </c>
      <c r="AN23" s="26"/>
      <c r="AO23" s="30">
        <f t="shared" si="12"/>
        <v>0</v>
      </c>
    </row>
    <row r="24" spans="1:41" ht="15.75" customHeight="1" x14ac:dyDescent="0.2">
      <c r="A24" s="19"/>
      <c r="B24" s="20"/>
      <c r="C24" s="21"/>
      <c r="D24" s="22"/>
      <c r="E24" s="23">
        <f t="shared" si="0"/>
        <v>0</v>
      </c>
      <c r="F24" s="22"/>
      <c r="G24" s="22"/>
      <c r="H24" s="23">
        <f t="shared" si="1"/>
        <v>0</v>
      </c>
      <c r="I24" s="22"/>
      <c r="J24" s="22"/>
      <c r="K24" s="22"/>
      <c r="L24" s="23">
        <f t="shared" si="2"/>
        <v>0</v>
      </c>
      <c r="M24" s="22"/>
      <c r="N24" s="24">
        <f t="shared" si="3"/>
        <v>0</v>
      </c>
      <c r="O24" s="22"/>
      <c r="P24" s="22"/>
      <c r="Q24" s="23">
        <f t="shared" si="4"/>
        <v>0</v>
      </c>
      <c r="R24" s="22"/>
      <c r="S24" s="24">
        <f t="shared" si="5"/>
        <v>0</v>
      </c>
      <c r="T24" s="24">
        <f t="shared" si="13"/>
        <v>0</v>
      </c>
      <c r="U24" s="25">
        <f t="shared" si="6"/>
        <v>0</v>
      </c>
      <c r="V24" s="26"/>
      <c r="W24" s="27"/>
      <c r="X24" s="27"/>
      <c r="Y24" s="27"/>
      <c r="Z24" s="24">
        <f t="shared" si="7"/>
        <v>0</v>
      </c>
      <c r="AA24" s="27"/>
      <c r="AB24" s="28">
        <f t="shared" ref="AB24:AC24" si="28">IFERROR(V24/J24, 0)</f>
        <v>0</v>
      </c>
      <c r="AC24" s="28">
        <f t="shared" si="28"/>
        <v>0</v>
      </c>
      <c r="AD24" s="28">
        <f t="shared" ref="AD24:AE24" si="29">IFERROR(Z24/O24, 0)</f>
        <v>0</v>
      </c>
      <c r="AE24" s="28">
        <f t="shared" si="29"/>
        <v>0</v>
      </c>
      <c r="AF24" s="28">
        <f t="shared" si="10"/>
        <v>0</v>
      </c>
      <c r="AG24" s="26"/>
      <c r="AH24" s="27"/>
      <c r="AI24" s="27"/>
      <c r="AJ24" s="27"/>
      <c r="AK24" s="27"/>
      <c r="AL24" s="29"/>
      <c r="AM24" s="25">
        <f t="shared" si="11"/>
        <v>0</v>
      </c>
      <c r="AN24" s="26"/>
      <c r="AO24" s="30">
        <f t="shared" si="12"/>
        <v>0</v>
      </c>
    </row>
    <row r="25" spans="1:41" ht="15.75" customHeight="1" x14ac:dyDescent="0.2">
      <c r="A25" s="19"/>
      <c r="B25" s="20"/>
      <c r="C25" s="21"/>
      <c r="D25" s="22"/>
      <c r="E25" s="23">
        <f t="shared" si="0"/>
        <v>0</v>
      </c>
      <c r="F25" s="22"/>
      <c r="G25" s="22"/>
      <c r="H25" s="23">
        <f t="shared" si="1"/>
        <v>0</v>
      </c>
      <c r="I25" s="22"/>
      <c r="J25" s="22"/>
      <c r="K25" s="22"/>
      <c r="L25" s="23">
        <f t="shared" si="2"/>
        <v>0</v>
      </c>
      <c r="M25" s="22"/>
      <c r="N25" s="24">
        <f t="shared" si="3"/>
        <v>0</v>
      </c>
      <c r="O25" s="22"/>
      <c r="P25" s="22"/>
      <c r="Q25" s="23">
        <f t="shared" si="4"/>
        <v>0</v>
      </c>
      <c r="R25" s="22"/>
      <c r="S25" s="24">
        <f t="shared" si="5"/>
        <v>0</v>
      </c>
      <c r="T25" s="24">
        <f t="shared" si="13"/>
        <v>0</v>
      </c>
      <c r="U25" s="25">
        <f t="shared" si="6"/>
        <v>0</v>
      </c>
      <c r="V25" s="26"/>
      <c r="W25" s="27"/>
      <c r="X25" s="27"/>
      <c r="Y25" s="27"/>
      <c r="Z25" s="24">
        <f t="shared" si="7"/>
        <v>0</v>
      </c>
      <c r="AA25" s="27"/>
      <c r="AB25" s="28">
        <f t="shared" ref="AB25:AC25" si="30">IFERROR(V25/J25, 0)</f>
        <v>0</v>
      </c>
      <c r="AC25" s="28">
        <f t="shared" si="30"/>
        <v>0</v>
      </c>
      <c r="AD25" s="28">
        <f t="shared" ref="AD25:AE25" si="31">IFERROR(Z25/O25, 0)</f>
        <v>0</v>
      </c>
      <c r="AE25" s="28">
        <f t="shared" si="31"/>
        <v>0</v>
      </c>
      <c r="AF25" s="28">
        <f t="shared" si="10"/>
        <v>0</v>
      </c>
      <c r="AG25" s="26"/>
      <c r="AH25" s="27"/>
      <c r="AI25" s="27"/>
      <c r="AJ25" s="27"/>
      <c r="AK25" s="27"/>
      <c r="AL25" s="29"/>
      <c r="AM25" s="25">
        <f t="shared" si="11"/>
        <v>0</v>
      </c>
      <c r="AN25" s="26"/>
      <c r="AO25" s="30">
        <f t="shared" si="12"/>
        <v>0</v>
      </c>
    </row>
    <row r="26" spans="1:41" ht="15.75" customHeight="1" x14ac:dyDescent="0.2">
      <c r="A26" s="19"/>
      <c r="B26" s="20"/>
      <c r="C26" s="21"/>
      <c r="D26" s="22"/>
      <c r="E26" s="23">
        <f t="shared" si="0"/>
        <v>0</v>
      </c>
      <c r="F26" s="22"/>
      <c r="G26" s="22"/>
      <c r="H26" s="23">
        <f t="shared" si="1"/>
        <v>0</v>
      </c>
      <c r="I26" s="22"/>
      <c r="J26" s="22"/>
      <c r="K26" s="22"/>
      <c r="L26" s="23">
        <f t="shared" si="2"/>
        <v>0</v>
      </c>
      <c r="M26" s="22"/>
      <c r="N26" s="24">
        <f t="shared" si="3"/>
        <v>0</v>
      </c>
      <c r="O26" s="22"/>
      <c r="P26" s="22"/>
      <c r="Q26" s="23">
        <f t="shared" si="4"/>
        <v>0</v>
      </c>
      <c r="R26" s="22"/>
      <c r="S26" s="24">
        <f t="shared" si="5"/>
        <v>0</v>
      </c>
      <c r="T26" s="24">
        <f t="shared" si="13"/>
        <v>0</v>
      </c>
      <c r="U26" s="25">
        <f t="shared" si="6"/>
        <v>0</v>
      </c>
      <c r="V26" s="26"/>
      <c r="W26" s="27"/>
      <c r="X26" s="27"/>
      <c r="Y26" s="27"/>
      <c r="Z26" s="24">
        <f t="shared" si="7"/>
        <v>0</v>
      </c>
      <c r="AA26" s="27"/>
      <c r="AB26" s="28">
        <f t="shared" ref="AB26:AC26" si="32">IFERROR(V26/J26, 0)</f>
        <v>0</v>
      </c>
      <c r="AC26" s="28">
        <f t="shared" si="32"/>
        <v>0</v>
      </c>
      <c r="AD26" s="28">
        <f t="shared" ref="AD26:AE26" si="33">IFERROR(Z26/O26, 0)</f>
        <v>0</v>
      </c>
      <c r="AE26" s="28">
        <f t="shared" si="33"/>
        <v>0</v>
      </c>
      <c r="AF26" s="28">
        <f t="shared" si="10"/>
        <v>0</v>
      </c>
      <c r="AG26" s="26"/>
      <c r="AH26" s="27"/>
      <c r="AI26" s="27"/>
      <c r="AJ26" s="27"/>
      <c r="AK26" s="27"/>
      <c r="AL26" s="29"/>
      <c r="AM26" s="25">
        <f t="shared" si="11"/>
        <v>0</v>
      </c>
      <c r="AN26" s="26"/>
      <c r="AO26" s="30">
        <f t="shared" si="12"/>
        <v>0</v>
      </c>
    </row>
    <row r="27" spans="1:41" ht="15.75" customHeight="1" x14ac:dyDescent="0.2">
      <c r="A27" s="19"/>
      <c r="B27" s="20"/>
      <c r="C27" s="21"/>
      <c r="D27" s="22"/>
      <c r="E27" s="23">
        <f t="shared" si="0"/>
        <v>0</v>
      </c>
      <c r="F27" s="22"/>
      <c r="G27" s="22"/>
      <c r="H27" s="23">
        <f t="shared" si="1"/>
        <v>0</v>
      </c>
      <c r="I27" s="22"/>
      <c r="J27" s="22"/>
      <c r="K27" s="22"/>
      <c r="L27" s="23">
        <f t="shared" si="2"/>
        <v>0</v>
      </c>
      <c r="M27" s="22"/>
      <c r="N27" s="24">
        <f t="shared" si="3"/>
        <v>0</v>
      </c>
      <c r="O27" s="22"/>
      <c r="P27" s="22"/>
      <c r="Q27" s="23">
        <f t="shared" si="4"/>
        <v>0</v>
      </c>
      <c r="R27" s="22"/>
      <c r="S27" s="24">
        <f t="shared" si="5"/>
        <v>0</v>
      </c>
      <c r="T27" s="24">
        <f t="shared" si="13"/>
        <v>0</v>
      </c>
      <c r="U27" s="25">
        <f t="shared" si="6"/>
        <v>0</v>
      </c>
      <c r="V27" s="26"/>
      <c r="W27" s="27"/>
      <c r="X27" s="27"/>
      <c r="Y27" s="27"/>
      <c r="Z27" s="24">
        <f t="shared" si="7"/>
        <v>0</v>
      </c>
      <c r="AA27" s="27"/>
      <c r="AB27" s="28">
        <f t="shared" ref="AB27:AC27" si="34">IFERROR(V27/J27, 0)</f>
        <v>0</v>
      </c>
      <c r="AC27" s="28">
        <f t="shared" si="34"/>
        <v>0</v>
      </c>
      <c r="AD27" s="28">
        <f t="shared" ref="AD27:AE27" si="35">IFERROR(Z27/O27, 0)</f>
        <v>0</v>
      </c>
      <c r="AE27" s="28">
        <f t="shared" si="35"/>
        <v>0</v>
      </c>
      <c r="AF27" s="28">
        <f t="shared" si="10"/>
        <v>0</v>
      </c>
      <c r="AG27" s="26"/>
      <c r="AH27" s="27"/>
      <c r="AI27" s="27"/>
      <c r="AJ27" s="27"/>
      <c r="AK27" s="27"/>
      <c r="AL27" s="29"/>
      <c r="AM27" s="25">
        <f t="shared" si="11"/>
        <v>0</v>
      </c>
      <c r="AN27" s="26"/>
      <c r="AO27" s="30">
        <f t="shared" si="12"/>
        <v>0</v>
      </c>
    </row>
    <row r="28" spans="1:41" ht="15.75" customHeight="1" x14ac:dyDescent="0.2">
      <c r="A28" s="19"/>
      <c r="B28" s="20"/>
      <c r="C28" s="21"/>
      <c r="D28" s="22"/>
      <c r="E28" s="23">
        <f t="shared" si="0"/>
        <v>0</v>
      </c>
      <c r="F28" s="22"/>
      <c r="G28" s="22"/>
      <c r="H28" s="23">
        <f t="shared" si="1"/>
        <v>0</v>
      </c>
      <c r="I28" s="22"/>
      <c r="J28" s="22"/>
      <c r="K28" s="22"/>
      <c r="L28" s="23">
        <f t="shared" si="2"/>
        <v>0</v>
      </c>
      <c r="M28" s="22"/>
      <c r="N28" s="24">
        <f t="shared" si="3"/>
        <v>0</v>
      </c>
      <c r="O28" s="22"/>
      <c r="P28" s="22"/>
      <c r="Q28" s="23">
        <f t="shared" si="4"/>
        <v>0</v>
      </c>
      <c r="R28" s="22"/>
      <c r="S28" s="24">
        <f t="shared" si="5"/>
        <v>0</v>
      </c>
      <c r="T28" s="24">
        <f t="shared" si="13"/>
        <v>0</v>
      </c>
      <c r="U28" s="25">
        <f t="shared" si="6"/>
        <v>0</v>
      </c>
      <c r="V28" s="26"/>
      <c r="W28" s="27"/>
      <c r="X28" s="27"/>
      <c r="Y28" s="27"/>
      <c r="Z28" s="24">
        <f t="shared" si="7"/>
        <v>0</v>
      </c>
      <c r="AA28" s="27"/>
      <c r="AB28" s="28">
        <f t="shared" ref="AB28:AC28" si="36">IFERROR(V28/J28, 0)</f>
        <v>0</v>
      </c>
      <c r="AC28" s="28">
        <f t="shared" si="36"/>
        <v>0</v>
      </c>
      <c r="AD28" s="28">
        <f t="shared" ref="AD28:AE28" si="37">IFERROR(Z28/O28, 0)</f>
        <v>0</v>
      </c>
      <c r="AE28" s="28">
        <f t="shared" si="37"/>
        <v>0</v>
      </c>
      <c r="AF28" s="28">
        <f t="shared" si="10"/>
        <v>0</v>
      </c>
      <c r="AG28" s="26"/>
      <c r="AH28" s="27"/>
      <c r="AI28" s="27"/>
      <c r="AJ28" s="27"/>
      <c r="AK28" s="27"/>
      <c r="AL28" s="29"/>
      <c r="AM28" s="25">
        <f t="shared" si="11"/>
        <v>0</v>
      </c>
      <c r="AN28" s="26"/>
      <c r="AO28" s="30">
        <f t="shared" si="12"/>
        <v>0</v>
      </c>
    </row>
    <row r="29" spans="1:41" ht="15.75" customHeight="1" x14ac:dyDescent="0.2">
      <c r="A29" s="19"/>
      <c r="B29" s="20"/>
      <c r="C29" s="21"/>
      <c r="D29" s="22"/>
      <c r="E29" s="23">
        <f t="shared" si="0"/>
        <v>0</v>
      </c>
      <c r="F29" s="22"/>
      <c r="G29" s="22"/>
      <c r="H29" s="23">
        <f t="shared" si="1"/>
        <v>0</v>
      </c>
      <c r="I29" s="22"/>
      <c r="J29" s="22"/>
      <c r="K29" s="22"/>
      <c r="L29" s="23">
        <f t="shared" si="2"/>
        <v>0</v>
      </c>
      <c r="M29" s="22"/>
      <c r="N29" s="24">
        <f t="shared" si="3"/>
        <v>0</v>
      </c>
      <c r="O29" s="22"/>
      <c r="P29" s="22"/>
      <c r="Q29" s="23">
        <f t="shared" si="4"/>
        <v>0</v>
      </c>
      <c r="R29" s="22"/>
      <c r="S29" s="24">
        <f t="shared" si="5"/>
        <v>0</v>
      </c>
      <c r="T29" s="24">
        <f t="shared" si="13"/>
        <v>0</v>
      </c>
      <c r="U29" s="25">
        <f t="shared" si="6"/>
        <v>0</v>
      </c>
      <c r="V29" s="26"/>
      <c r="W29" s="27"/>
      <c r="X29" s="27"/>
      <c r="Y29" s="27"/>
      <c r="Z29" s="24">
        <f t="shared" si="7"/>
        <v>0</v>
      </c>
      <c r="AA29" s="27"/>
      <c r="AB29" s="28">
        <f t="shared" ref="AB29:AC29" si="38">IFERROR(V29/J29, 0)</f>
        <v>0</v>
      </c>
      <c r="AC29" s="28">
        <f t="shared" si="38"/>
        <v>0</v>
      </c>
      <c r="AD29" s="28">
        <f t="shared" ref="AD29:AE29" si="39">IFERROR(Z29/O29, 0)</f>
        <v>0</v>
      </c>
      <c r="AE29" s="28">
        <f t="shared" si="39"/>
        <v>0</v>
      </c>
      <c r="AF29" s="28">
        <f t="shared" si="10"/>
        <v>0</v>
      </c>
      <c r="AG29" s="26"/>
      <c r="AH29" s="27"/>
      <c r="AI29" s="27"/>
      <c r="AJ29" s="27"/>
      <c r="AK29" s="27"/>
      <c r="AL29" s="29"/>
      <c r="AM29" s="25">
        <f t="shared" si="11"/>
        <v>0</v>
      </c>
      <c r="AN29" s="26"/>
      <c r="AO29" s="30">
        <f t="shared" si="12"/>
        <v>0</v>
      </c>
    </row>
    <row r="30" spans="1:41" ht="15.75" customHeight="1" x14ac:dyDescent="0.2">
      <c r="A30" s="19"/>
      <c r="B30" s="20"/>
      <c r="C30" s="21"/>
      <c r="D30" s="22"/>
      <c r="E30" s="23">
        <f t="shared" si="0"/>
        <v>0</v>
      </c>
      <c r="F30" s="22"/>
      <c r="G30" s="22"/>
      <c r="H30" s="23">
        <f t="shared" si="1"/>
        <v>0</v>
      </c>
      <c r="I30" s="22"/>
      <c r="J30" s="22"/>
      <c r="K30" s="22"/>
      <c r="L30" s="23">
        <f t="shared" si="2"/>
        <v>0</v>
      </c>
      <c r="M30" s="22"/>
      <c r="N30" s="24">
        <f t="shared" si="3"/>
        <v>0</v>
      </c>
      <c r="O30" s="22"/>
      <c r="P30" s="22"/>
      <c r="Q30" s="23">
        <f t="shared" si="4"/>
        <v>0</v>
      </c>
      <c r="R30" s="22"/>
      <c r="S30" s="24">
        <f t="shared" si="5"/>
        <v>0</v>
      </c>
      <c r="T30" s="24">
        <f t="shared" si="13"/>
        <v>0</v>
      </c>
      <c r="U30" s="25">
        <f t="shared" si="6"/>
        <v>0</v>
      </c>
      <c r="V30" s="26"/>
      <c r="W30" s="27"/>
      <c r="X30" s="27"/>
      <c r="Y30" s="27"/>
      <c r="Z30" s="24">
        <f t="shared" si="7"/>
        <v>0</v>
      </c>
      <c r="AA30" s="27"/>
      <c r="AB30" s="28">
        <f t="shared" ref="AB30:AC30" si="40">IFERROR(V30/J30, 0)</f>
        <v>0</v>
      </c>
      <c r="AC30" s="28">
        <f t="shared" si="40"/>
        <v>0</v>
      </c>
      <c r="AD30" s="28">
        <f t="shared" ref="AD30:AE30" si="41">IFERROR(Z30/O30, 0)</f>
        <v>0</v>
      </c>
      <c r="AE30" s="28">
        <f t="shared" si="41"/>
        <v>0</v>
      </c>
      <c r="AF30" s="28">
        <f t="shared" si="10"/>
        <v>0</v>
      </c>
      <c r="AG30" s="26"/>
      <c r="AH30" s="27"/>
      <c r="AI30" s="27"/>
      <c r="AJ30" s="27"/>
      <c r="AK30" s="27"/>
      <c r="AL30" s="29"/>
      <c r="AM30" s="25">
        <f t="shared" si="11"/>
        <v>0</v>
      </c>
      <c r="AN30" s="26"/>
      <c r="AO30" s="30">
        <f t="shared" si="12"/>
        <v>0</v>
      </c>
    </row>
    <row r="31" spans="1:41" ht="15.75" customHeight="1" x14ac:dyDescent="0.2">
      <c r="A31" s="19"/>
      <c r="B31" s="20"/>
      <c r="C31" s="21"/>
      <c r="D31" s="22"/>
      <c r="E31" s="23">
        <f t="shared" si="0"/>
        <v>0</v>
      </c>
      <c r="F31" s="22"/>
      <c r="G31" s="22"/>
      <c r="H31" s="23">
        <f t="shared" si="1"/>
        <v>0</v>
      </c>
      <c r="I31" s="22"/>
      <c r="J31" s="22"/>
      <c r="K31" s="22"/>
      <c r="L31" s="23">
        <f t="shared" si="2"/>
        <v>0</v>
      </c>
      <c r="M31" s="22"/>
      <c r="N31" s="24">
        <f t="shared" si="3"/>
        <v>0</v>
      </c>
      <c r="O31" s="22"/>
      <c r="P31" s="22"/>
      <c r="Q31" s="23">
        <f t="shared" si="4"/>
        <v>0</v>
      </c>
      <c r="R31" s="22"/>
      <c r="S31" s="24">
        <f t="shared" si="5"/>
        <v>0</v>
      </c>
      <c r="T31" s="24">
        <f t="shared" si="13"/>
        <v>0</v>
      </c>
      <c r="U31" s="25">
        <f t="shared" si="6"/>
        <v>0</v>
      </c>
      <c r="V31" s="26"/>
      <c r="W31" s="27"/>
      <c r="X31" s="27"/>
      <c r="Y31" s="27"/>
      <c r="Z31" s="24">
        <f t="shared" si="7"/>
        <v>0</v>
      </c>
      <c r="AA31" s="27"/>
      <c r="AB31" s="28">
        <f t="shared" ref="AB31:AC31" si="42">IFERROR(V31/J31, 0)</f>
        <v>0</v>
      </c>
      <c r="AC31" s="28">
        <f t="shared" si="42"/>
        <v>0</v>
      </c>
      <c r="AD31" s="28">
        <f t="shared" ref="AD31:AE31" si="43">IFERROR(Z31/O31, 0)</f>
        <v>0</v>
      </c>
      <c r="AE31" s="28">
        <f t="shared" si="43"/>
        <v>0</v>
      </c>
      <c r="AF31" s="28">
        <f t="shared" si="10"/>
        <v>0</v>
      </c>
      <c r="AG31" s="26"/>
      <c r="AH31" s="27"/>
      <c r="AI31" s="27"/>
      <c r="AJ31" s="27"/>
      <c r="AK31" s="27"/>
      <c r="AL31" s="29"/>
      <c r="AM31" s="25">
        <f t="shared" si="11"/>
        <v>0</v>
      </c>
      <c r="AN31" s="26"/>
      <c r="AO31" s="30">
        <f t="shared" si="12"/>
        <v>0</v>
      </c>
    </row>
    <row r="32" spans="1:41" ht="15.75" customHeight="1" x14ac:dyDescent="0.2">
      <c r="A32" s="19"/>
      <c r="B32" s="20"/>
      <c r="C32" s="21"/>
      <c r="D32" s="22"/>
      <c r="E32" s="23">
        <f t="shared" si="0"/>
        <v>0</v>
      </c>
      <c r="F32" s="22"/>
      <c r="G32" s="22"/>
      <c r="H32" s="23">
        <f t="shared" si="1"/>
        <v>0</v>
      </c>
      <c r="I32" s="22"/>
      <c r="J32" s="22"/>
      <c r="K32" s="22"/>
      <c r="L32" s="23">
        <f t="shared" si="2"/>
        <v>0</v>
      </c>
      <c r="M32" s="22"/>
      <c r="N32" s="24">
        <f t="shared" si="3"/>
        <v>0</v>
      </c>
      <c r="O32" s="22"/>
      <c r="P32" s="22"/>
      <c r="Q32" s="23">
        <f t="shared" si="4"/>
        <v>0</v>
      </c>
      <c r="R32" s="22"/>
      <c r="S32" s="24">
        <f t="shared" si="5"/>
        <v>0</v>
      </c>
      <c r="T32" s="24">
        <f t="shared" si="13"/>
        <v>0</v>
      </c>
      <c r="U32" s="25">
        <f t="shared" si="6"/>
        <v>0</v>
      </c>
      <c r="V32" s="26"/>
      <c r="W32" s="27"/>
      <c r="X32" s="27"/>
      <c r="Y32" s="27"/>
      <c r="Z32" s="24">
        <f t="shared" si="7"/>
        <v>0</v>
      </c>
      <c r="AA32" s="27"/>
      <c r="AB32" s="28">
        <f t="shared" ref="AB32:AC32" si="44">IFERROR(V32/J32, 0)</f>
        <v>0</v>
      </c>
      <c r="AC32" s="28">
        <f t="shared" si="44"/>
        <v>0</v>
      </c>
      <c r="AD32" s="28">
        <f t="shared" ref="AD32:AE32" si="45">IFERROR(Z32/O32, 0)</f>
        <v>0</v>
      </c>
      <c r="AE32" s="28">
        <f t="shared" si="45"/>
        <v>0</v>
      </c>
      <c r="AF32" s="28">
        <f t="shared" si="10"/>
        <v>0</v>
      </c>
      <c r="AG32" s="26"/>
      <c r="AH32" s="27"/>
      <c r="AI32" s="27"/>
      <c r="AJ32" s="27"/>
      <c r="AK32" s="27"/>
      <c r="AL32" s="29"/>
      <c r="AM32" s="25">
        <f t="shared" si="11"/>
        <v>0</v>
      </c>
      <c r="AN32" s="26"/>
      <c r="AO32" s="30">
        <f t="shared" si="12"/>
        <v>0</v>
      </c>
    </row>
    <row r="33" spans="1:41" ht="15.75" customHeight="1" x14ac:dyDescent="0.2">
      <c r="A33" s="19"/>
      <c r="B33" s="20"/>
      <c r="C33" s="21"/>
      <c r="D33" s="22"/>
      <c r="E33" s="23">
        <f t="shared" si="0"/>
        <v>0</v>
      </c>
      <c r="F33" s="22"/>
      <c r="G33" s="22"/>
      <c r="H33" s="23">
        <f t="shared" si="1"/>
        <v>0</v>
      </c>
      <c r="I33" s="22"/>
      <c r="J33" s="22"/>
      <c r="K33" s="22"/>
      <c r="L33" s="23">
        <f t="shared" si="2"/>
        <v>0</v>
      </c>
      <c r="M33" s="22"/>
      <c r="N33" s="24">
        <f t="shared" si="3"/>
        <v>0</v>
      </c>
      <c r="O33" s="22"/>
      <c r="P33" s="22"/>
      <c r="Q33" s="23">
        <f t="shared" si="4"/>
        <v>0</v>
      </c>
      <c r="R33" s="22"/>
      <c r="S33" s="24">
        <f t="shared" si="5"/>
        <v>0</v>
      </c>
      <c r="T33" s="24">
        <f t="shared" si="13"/>
        <v>0</v>
      </c>
      <c r="U33" s="25">
        <f t="shared" si="6"/>
        <v>0</v>
      </c>
      <c r="V33" s="26"/>
      <c r="W33" s="27"/>
      <c r="X33" s="27"/>
      <c r="Y33" s="27"/>
      <c r="Z33" s="24">
        <f t="shared" si="7"/>
        <v>0</v>
      </c>
      <c r="AA33" s="27"/>
      <c r="AB33" s="28">
        <f t="shared" ref="AB33:AC33" si="46">IFERROR(V33/J33, 0)</f>
        <v>0</v>
      </c>
      <c r="AC33" s="28">
        <f t="shared" si="46"/>
        <v>0</v>
      </c>
      <c r="AD33" s="28">
        <f t="shared" ref="AD33:AE33" si="47">IFERROR(Z33/O33, 0)</f>
        <v>0</v>
      </c>
      <c r="AE33" s="28">
        <f t="shared" si="47"/>
        <v>0</v>
      </c>
      <c r="AF33" s="28">
        <f t="shared" si="10"/>
        <v>0</v>
      </c>
      <c r="AG33" s="26"/>
      <c r="AH33" s="27"/>
      <c r="AI33" s="27"/>
      <c r="AJ33" s="27"/>
      <c r="AK33" s="27"/>
      <c r="AL33" s="29"/>
      <c r="AM33" s="25">
        <f t="shared" si="11"/>
        <v>0</v>
      </c>
      <c r="AN33" s="26"/>
      <c r="AO33" s="30">
        <f t="shared" si="12"/>
        <v>0</v>
      </c>
    </row>
    <row r="34" spans="1:41" ht="15.75" customHeight="1" x14ac:dyDescent="0.2">
      <c r="A34" s="19"/>
      <c r="B34" s="31"/>
      <c r="C34" s="26"/>
      <c r="D34" s="27"/>
      <c r="E34" s="23">
        <f t="shared" si="0"/>
        <v>0</v>
      </c>
      <c r="F34" s="27"/>
      <c r="G34" s="27"/>
      <c r="H34" s="23">
        <f t="shared" si="1"/>
        <v>0</v>
      </c>
      <c r="I34" s="27"/>
      <c r="J34" s="22"/>
      <c r="K34" s="22"/>
      <c r="L34" s="23">
        <f t="shared" si="2"/>
        <v>0</v>
      </c>
      <c r="M34" s="22"/>
      <c r="N34" s="24">
        <f t="shared" si="3"/>
        <v>0</v>
      </c>
      <c r="O34" s="22"/>
      <c r="P34" s="22"/>
      <c r="Q34" s="23">
        <f t="shared" si="4"/>
        <v>0</v>
      </c>
      <c r="R34" s="22"/>
      <c r="S34" s="24">
        <f t="shared" si="5"/>
        <v>0</v>
      </c>
      <c r="T34" s="24">
        <f t="shared" si="13"/>
        <v>0</v>
      </c>
      <c r="U34" s="25">
        <f t="shared" si="6"/>
        <v>0</v>
      </c>
      <c r="V34" s="26"/>
      <c r="W34" s="27"/>
      <c r="X34" s="27"/>
      <c r="Y34" s="27"/>
      <c r="Z34" s="24">
        <f t="shared" si="7"/>
        <v>0</v>
      </c>
      <c r="AA34" s="27"/>
      <c r="AB34" s="28">
        <f t="shared" ref="AB34:AC34" si="48">IFERROR(V34/J34, 0)</f>
        <v>0</v>
      </c>
      <c r="AC34" s="28">
        <f t="shared" si="48"/>
        <v>0</v>
      </c>
      <c r="AD34" s="28">
        <f t="shared" ref="AD34:AE34" si="49">IFERROR(Z34/O34, 0)</f>
        <v>0</v>
      </c>
      <c r="AE34" s="28">
        <f t="shared" si="49"/>
        <v>0</v>
      </c>
      <c r="AF34" s="28">
        <f t="shared" si="10"/>
        <v>0</v>
      </c>
      <c r="AG34" s="26"/>
      <c r="AH34" s="27"/>
      <c r="AI34" s="27"/>
      <c r="AJ34" s="27"/>
      <c r="AK34" s="27"/>
      <c r="AL34" s="29"/>
      <c r="AM34" s="25">
        <f t="shared" si="11"/>
        <v>0</v>
      </c>
      <c r="AN34" s="26"/>
      <c r="AO34" s="30">
        <f t="shared" si="12"/>
        <v>0</v>
      </c>
    </row>
    <row r="35" spans="1:41" ht="15.75" customHeight="1" x14ac:dyDescent="0.2">
      <c r="A35" s="32"/>
      <c r="B35" s="33"/>
      <c r="C35" s="34"/>
      <c r="D35" s="35"/>
      <c r="E35" s="36">
        <f>SUM(C35:D35)</f>
        <v>0</v>
      </c>
      <c r="F35" s="35"/>
      <c r="G35" s="35"/>
      <c r="H35" s="36">
        <f t="shared" si="1"/>
        <v>0</v>
      </c>
      <c r="I35" s="35"/>
      <c r="J35" s="35"/>
      <c r="K35" s="35"/>
      <c r="L35" s="36">
        <f t="shared" si="2"/>
        <v>0</v>
      </c>
      <c r="M35" s="35"/>
      <c r="N35" s="37">
        <f t="shared" si="3"/>
        <v>0</v>
      </c>
      <c r="O35" s="35"/>
      <c r="P35" s="35"/>
      <c r="Q35" s="36">
        <f t="shared" si="4"/>
        <v>0</v>
      </c>
      <c r="R35" s="35"/>
      <c r="S35" s="37">
        <f t="shared" si="5"/>
        <v>0</v>
      </c>
      <c r="T35" s="37">
        <f t="shared" si="13"/>
        <v>0</v>
      </c>
      <c r="U35" s="38">
        <f t="shared" si="6"/>
        <v>0</v>
      </c>
      <c r="V35" s="39"/>
      <c r="W35" s="40"/>
      <c r="X35" s="40"/>
      <c r="Y35" s="40"/>
      <c r="Z35" s="37">
        <f t="shared" si="7"/>
        <v>0</v>
      </c>
      <c r="AA35" s="40"/>
      <c r="AB35" s="41">
        <f t="shared" ref="AB35:AC35" si="50">IFERROR(V35/J35, 0)</f>
        <v>0</v>
      </c>
      <c r="AC35" s="41">
        <f t="shared" si="50"/>
        <v>0</v>
      </c>
      <c r="AD35" s="41">
        <f t="shared" ref="AD35:AE35" si="51">IFERROR(Z35/O35, 0)</f>
        <v>0</v>
      </c>
      <c r="AE35" s="41">
        <f t="shared" si="51"/>
        <v>0</v>
      </c>
      <c r="AF35" s="41">
        <f t="shared" si="10"/>
        <v>0</v>
      </c>
      <c r="AG35" s="39"/>
      <c r="AH35" s="40"/>
      <c r="AI35" s="40"/>
      <c r="AJ35" s="40"/>
      <c r="AK35" s="40"/>
      <c r="AL35" s="42"/>
      <c r="AM35" s="38">
        <f t="shared" si="11"/>
        <v>0</v>
      </c>
      <c r="AN35" s="39"/>
      <c r="AO35" s="43">
        <f t="shared" si="12"/>
        <v>0</v>
      </c>
    </row>
    <row r="36" spans="1:41" ht="15.75" customHeight="1" x14ac:dyDescent="0.2">
      <c r="A36" s="44" t="s">
        <v>54</v>
      </c>
      <c r="B36" s="45">
        <f t="shared" ref="B36:AA36" si="52">SUM(B16:B35)</f>
        <v>0</v>
      </c>
      <c r="C36" s="46">
        <f t="shared" si="52"/>
        <v>0</v>
      </c>
      <c r="D36" s="47">
        <f t="shared" si="52"/>
        <v>0</v>
      </c>
      <c r="E36" s="47">
        <f t="shared" si="52"/>
        <v>0</v>
      </c>
      <c r="F36" s="47">
        <f t="shared" si="52"/>
        <v>0</v>
      </c>
      <c r="G36" s="47">
        <f t="shared" si="52"/>
        <v>0</v>
      </c>
      <c r="H36" s="47">
        <f t="shared" si="52"/>
        <v>0</v>
      </c>
      <c r="I36" s="47">
        <f t="shared" si="52"/>
        <v>0</v>
      </c>
      <c r="J36" s="47">
        <f t="shared" si="52"/>
        <v>0</v>
      </c>
      <c r="K36" s="47">
        <f t="shared" si="52"/>
        <v>0</v>
      </c>
      <c r="L36" s="47">
        <f t="shared" si="52"/>
        <v>0</v>
      </c>
      <c r="M36" s="47">
        <f t="shared" si="52"/>
        <v>0</v>
      </c>
      <c r="N36" s="47">
        <f t="shared" si="52"/>
        <v>0</v>
      </c>
      <c r="O36" s="47">
        <f t="shared" si="52"/>
        <v>0</v>
      </c>
      <c r="P36" s="47">
        <f t="shared" si="52"/>
        <v>0</v>
      </c>
      <c r="Q36" s="47">
        <f t="shared" si="52"/>
        <v>0</v>
      </c>
      <c r="R36" s="47">
        <f t="shared" si="52"/>
        <v>0</v>
      </c>
      <c r="S36" s="47">
        <f t="shared" si="52"/>
        <v>0</v>
      </c>
      <c r="T36" s="47">
        <f t="shared" si="52"/>
        <v>0</v>
      </c>
      <c r="U36" s="48">
        <f t="shared" si="52"/>
        <v>0</v>
      </c>
      <c r="V36" s="46">
        <f t="shared" si="52"/>
        <v>0</v>
      </c>
      <c r="W36" s="47">
        <f t="shared" si="52"/>
        <v>0</v>
      </c>
      <c r="X36" s="47">
        <f t="shared" si="52"/>
        <v>0</v>
      </c>
      <c r="Y36" s="47">
        <f t="shared" si="52"/>
        <v>0</v>
      </c>
      <c r="Z36" s="47">
        <f t="shared" si="52"/>
        <v>0</v>
      </c>
      <c r="AA36" s="47">
        <f t="shared" si="52"/>
        <v>0</v>
      </c>
      <c r="AB36" s="49">
        <f t="shared" ref="AB36:AC36" si="53">IFERROR(V36/J36, 0)</f>
        <v>0</v>
      </c>
      <c r="AC36" s="49">
        <f t="shared" si="53"/>
        <v>0</v>
      </c>
      <c r="AD36" s="49">
        <f t="shared" ref="AD36:AE36" si="54">IFERROR(Z36/O36, 0)</f>
        <v>0</v>
      </c>
      <c r="AE36" s="49">
        <f t="shared" si="54"/>
        <v>0</v>
      </c>
      <c r="AF36" s="49">
        <f t="shared" si="10"/>
        <v>0</v>
      </c>
      <c r="AG36" s="46">
        <f t="shared" ref="AG36:AN36" si="55">SUM(AG16:AG35)</f>
        <v>0</v>
      </c>
      <c r="AH36" s="47">
        <f t="shared" si="55"/>
        <v>0</v>
      </c>
      <c r="AI36" s="47">
        <f t="shared" si="55"/>
        <v>0</v>
      </c>
      <c r="AJ36" s="47">
        <f t="shared" si="55"/>
        <v>0</v>
      </c>
      <c r="AK36" s="47">
        <f t="shared" si="55"/>
        <v>0</v>
      </c>
      <c r="AL36" s="47">
        <f t="shared" si="55"/>
        <v>0</v>
      </c>
      <c r="AM36" s="48">
        <f t="shared" si="55"/>
        <v>0</v>
      </c>
      <c r="AN36" s="46">
        <f t="shared" si="55"/>
        <v>0</v>
      </c>
      <c r="AO36" s="50">
        <f t="shared" si="12"/>
        <v>0</v>
      </c>
    </row>
    <row r="37" spans="1:41" ht="15.75" customHeight="1" x14ac:dyDescent="0.2">
      <c r="A37" s="51"/>
      <c r="B37" s="4"/>
      <c r="C37" s="52"/>
      <c r="D37" s="52"/>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row>
    <row r="38" spans="1:41" ht="15.75" customHeight="1" x14ac:dyDescent="0.2">
      <c r="A38" s="103" t="s">
        <v>55</v>
      </c>
      <c r="B38" s="4">
        <v>1</v>
      </c>
      <c r="C38" s="53" t="str">
        <f ca="1">IFERROR(__xludf.DUMMYFUNCTION("IF(
  COUNTUNIQUE($E$36,$H$36,$U$36,$AM$36)=1,
  ""✅ Totals of sex, age, animal bite cases, and biting animals match"",
  ""❌ Totals of sex, age, animal bite cases, and biting animals DO NOT match. Please recheck the data.""
)
"),"✅ Totals of sex, age, animal bite cases, and biting animals match")</f>
        <v>✅ Totals of sex, age, animal bite cases, and biting animals match</v>
      </c>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row>
    <row r="39" spans="1:41" ht="15.75" customHeight="1" x14ac:dyDescent="0.2">
      <c r="A39" s="88"/>
      <c r="B39" s="4">
        <v>2</v>
      </c>
      <c r="C39" s="53" t="str">
        <f>IF(
  SUMPRODUCT(--(AB16:AF36&gt;1))=0,
  "✅ PEP Coverage ≤100%",
  "❌ PEP Coverage cannot exceed 100%. "&amp;SUMPRODUCT(--(AB16:AF36&gt;1))&amp;" cell(s) exceed 100%. Please recheck the data."
)</f>
        <v>✅ PEP Coverage ≤100%</v>
      </c>
      <c r="D39" s="52"/>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row>
    <row r="40" spans="1:41" ht="15.75" customHeight="1" x14ac:dyDescent="0.2">
      <c r="A40" s="104" t="s">
        <v>74</v>
      </c>
      <c r="B40" s="88"/>
      <c r="C40" s="88"/>
      <c r="D40" s="88"/>
      <c r="E40" s="88"/>
      <c r="F40" s="88"/>
      <c r="G40" s="88"/>
      <c r="H40" s="88"/>
      <c r="I40" s="88"/>
      <c r="J40" s="88"/>
      <c r="K40" s="88"/>
      <c r="L40" s="88"/>
      <c r="M40" s="88"/>
      <c r="N40" s="88"/>
      <c r="O40" s="88"/>
      <c r="P40" s="88"/>
      <c r="Q40" s="88"/>
      <c r="R40" s="88"/>
      <c r="S40" s="88"/>
      <c r="T40" s="88"/>
      <c r="U40" s="88"/>
      <c r="V40" s="87" t="s">
        <v>75</v>
      </c>
      <c r="W40" s="88"/>
      <c r="X40" s="88"/>
      <c r="Y40" s="88"/>
      <c r="Z40" s="88"/>
      <c r="AA40" s="88"/>
      <c r="AB40" s="87" t="s">
        <v>76</v>
      </c>
      <c r="AC40" s="88"/>
      <c r="AD40" s="88"/>
      <c r="AE40" s="88"/>
      <c r="AF40" s="88"/>
      <c r="AG40" s="88"/>
      <c r="AH40" s="87" t="s">
        <v>77</v>
      </c>
      <c r="AI40" s="88"/>
      <c r="AJ40" s="88"/>
      <c r="AK40" s="88"/>
      <c r="AL40" s="88"/>
      <c r="AM40" s="88"/>
      <c r="AN40" s="88"/>
      <c r="AO40" s="88"/>
    </row>
    <row r="41" spans="1:41" ht="15.75" customHeight="1" x14ac:dyDescent="0.2"/>
    <row r="42" spans="1:41" ht="15.75" customHeight="1" x14ac:dyDescent="0.2"/>
    <row r="43" spans="1:41" ht="15.75" customHeight="1" x14ac:dyDescent="0.2"/>
    <row r="44" spans="1:41" ht="15.75" customHeight="1" x14ac:dyDescent="0.2"/>
    <row r="45" spans="1:41" ht="15.75" customHeight="1" x14ac:dyDescent="0.2"/>
    <row r="46" spans="1:41" ht="15.75" customHeight="1" x14ac:dyDescent="0.2"/>
    <row r="47" spans="1:41" ht="15.75" customHeight="1" x14ac:dyDescent="0.2"/>
    <row r="48" spans="1:41"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61">
    <mergeCell ref="T13:T15"/>
    <mergeCell ref="U13:U15"/>
    <mergeCell ref="X13:AA13"/>
    <mergeCell ref="AB13:AC13"/>
    <mergeCell ref="AN11:AO11"/>
    <mergeCell ref="AM12:AM15"/>
    <mergeCell ref="AN12:AN15"/>
    <mergeCell ref="AO12:AO15"/>
    <mergeCell ref="V13:W13"/>
    <mergeCell ref="V12:AA12"/>
    <mergeCell ref="AB12:AF12"/>
    <mergeCell ref="AG12:AI12"/>
    <mergeCell ref="AJ12:AL12"/>
    <mergeCell ref="AA14:AA15"/>
    <mergeCell ref="AB14:AB15"/>
    <mergeCell ref="AC14:AC15"/>
    <mergeCell ref="V11:AF11"/>
    <mergeCell ref="AG11:AM11"/>
    <mergeCell ref="AD13:AE13"/>
    <mergeCell ref="AF13:AF15"/>
    <mergeCell ref="AD14:AD15"/>
    <mergeCell ref="AE14:AE15"/>
    <mergeCell ref="AG13:AG15"/>
    <mergeCell ref="A1:A5"/>
    <mergeCell ref="A7:A9"/>
    <mergeCell ref="C7:F7"/>
    <mergeCell ref="J7:K7"/>
    <mergeCell ref="A11:A15"/>
    <mergeCell ref="C11:U11"/>
    <mergeCell ref="I12:U12"/>
    <mergeCell ref="C12:E12"/>
    <mergeCell ref="F12:H12"/>
    <mergeCell ref="B11:B15"/>
    <mergeCell ref="C13:C15"/>
    <mergeCell ref="D13:D15"/>
    <mergeCell ref="E13:E15"/>
    <mergeCell ref="F13:F15"/>
    <mergeCell ref="G13:G15"/>
    <mergeCell ref="H13:H15"/>
    <mergeCell ref="A40:U40"/>
    <mergeCell ref="V40:AA40"/>
    <mergeCell ref="AB40:AG40"/>
    <mergeCell ref="AH40:AO40"/>
    <mergeCell ref="N14:N15"/>
    <mergeCell ref="O14:Q14"/>
    <mergeCell ref="R14:R15"/>
    <mergeCell ref="S14:S15"/>
    <mergeCell ref="AH13:AH15"/>
    <mergeCell ref="AI13:AI15"/>
    <mergeCell ref="AJ13:AJ15"/>
    <mergeCell ref="AK13:AK15"/>
    <mergeCell ref="AL13:AL15"/>
    <mergeCell ref="V14:V15"/>
    <mergeCell ref="W14:W15"/>
    <mergeCell ref="X14:Z14"/>
    <mergeCell ref="J13:N13"/>
    <mergeCell ref="O13:S13"/>
    <mergeCell ref="J14:L14"/>
    <mergeCell ref="M14:M15"/>
    <mergeCell ref="A38:A39"/>
    <mergeCell ref="I13:I15"/>
  </mergeCells>
  <conditionalFormatting sqref="B38">
    <cfRule type="expression" dxfId="19" priority="1">
      <formula>COUNTUNIQUE($E$36,$H$36,$U$36,$AM$36)=1</formula>
    </cfRule>
    <cfRule type="expression" dxfId="18" priority="6">
      <formula>COUNTUNIQUE($E$36,$H$36,$U$36,$AM$36)&gt;1</formula>
    </cfRule>
  </conditionalFormatting>
  <conditionalFormatting sqref="B39">
    <cfRule type="expression" dxfId="17" priority="4">
      <formula>SUMPRODUCT(--(AB16:AF36&gt;1))=0</formula>
    </cfRule>
    <cfRule type="expression" dxfId="16" priority="5">
      <formula>SUMPRODUCT(--(AB16:AF36&gt;1))&gt;0</formula>
    </cfRule>
  </conditionalFormatting>
  <conditionalFormatting sqref="AB16:AF36">
    <cfRule type="expression" dxfId="15" priority="2">
      <formula>AND(AB16&lt;&gt;"", AB16&gt;1)</formula>
    </cfRule>
    <cfRule type="expression" dxfId="14" priority="3">
      <formula>AND(AB16&lt;&gt;"", AB16&gt;=0, AB16&lt;=1)</formula>
    </cfRule>
  </conditionalFormatting>
  <hyperlinks>
    <hyperlink ref="A40" r:id="rId1" xr:uid="{00000000-0004-0000-0300-000000000000}"/>
  </hyperlinks>
  <pageMargins left="0.75" right="0.75" top="1" bottom="1" header="0" footer="0"/>
  <pageSetup paperSize="14" orientation="landscape"/>
  <colBreaks count="2" manualBreakCount="2">
    <brk id="21" man="1"/>
    <brk id="41"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O1000"/>
  <sheetViews>
    <sheetView workbookViewId="0">
      <pane ySplit="15" topLeftCell="A16" activePane="bottomLeft" state="frozen"/>
      <selection pane="bottomLeft" activeCell="A11" sqref="A11:A15"/>
    </sheetView>
  </sheetViews>
  <sheetFormatPr defaultColWidth="12.5703125" defaultRowHeight="15" customHeight="1" x14ac:dyDescent="0.2"/>
  <cols>
    <col min="1" max="1" width="18.140625" customWidth="1"/>
    <col min="2" max="41" width="10.7109375" customWidth="1"/>
  </cols>
  <sheetData>
    <row r="1" spans="1:41" ht="15.75" customHeight="1" x14ac:dyDescent="0.2">
      <c r="A1" s="122"/>
      <c r="B1" s="1"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15.75" customHeight="1" x14ac:dyDescent="0.2">
      <c r="A2" s="88"/>
      <c r="B2" s="1"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row>
    <row r="3" spans="1:41" ht="15.75" customHeight="1" x14ac:dyDescent="0.2">
      <c r="A3" s="88"/>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row>
    <row r="4" spans="1:41" ht="15.75" customHeight="1" x14ac:dyDescent="0.2">
      <c r="A4" s="88"/>
      <c r="B4" s="3" t="s">
        <v>2</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row>
    <row r="5" spans="1:41" ht="15.75" customHeight="1" x14ac:dyDescent="0.2">
      <c r="A5" s="88"/>
      <c r="B5" s="3" t="s">
        <v>3</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row>
    <row r="6" spans="1:41" ht="15.75" customHeight="1" x14ac:dyDescent="0.2">
      <c r="A6" s="56"/>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row>
    <row r="7" spans="1:41" ht="15.75" customHeight="1" x14ac:dyDescent="0.2">
      <c r="A7" s="116"/>
      <c r="B7" s="3" t="s">
        <v>101</v>
      </c>
      <c r="C7" s="117"/>
      <c r="D7" s="118"/>
      <c r="E7" s="118"/>
      <c r="F7" s="118"/>
      <c r="H7" s="3" t="s">
        <v>4</v>
      </c>
      <c r="I7" s="3"/>
      <c r="J7" s="117" t="s">
        <v>79</v>
      </c>
      <c r="K7" s="118"/>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row>
    <row r="8" spans="1:41" ht="15.75" customHeight="1" x14ac:dyDescent="0.2">
      <c r="A8" s="88"/>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row>
    <row r="9" spans="1:41" ht="15.75" customHeight="1" x14ac:dyDescent="0.2">
      <c r="A9" s="88"/>
      <c r="B9" s="5" t="s">
        <v>80</v>
      </c>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row>
    <row r="10" spans="1:41" ht="15.75" customHeight="1" x14ac:dyDescent="0.2">
      <c r="A10" s="5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row>
    <row r="11" spans="1:41" ht="15.75" customHeight="1" x14ac:dyDescent="0.2">
      <c r="A11" s="119" t="s">
        <v>100</v>
      </c>
      <c r="B11" s="119" t="s">
        <v>8</v>
      </c>
      <c r="C11" s="110" t="s">
        <v>9</v>
      </c>
      <c r="D11" s="111"/>
      <c r="E11" s="111"/>
      <c r="F11" s="111"/>
      <c r="G11" s="111"/>
      <c r="H11" s="111"/>
      <c r="I11" s="111"/>
      <c r="J11" s="111"/>
      <c r="K11" s="111"/>
      <c r="L11" s="111"/>
      <c r="M11" s="111"/>
      <c r="N11" s="111"/>
      <c r="O11" s="111"/>
      <c r="P11" s="111"/>
      <c r="Q11" s="111"/>
      <c r="R11" s="111"/>
      <c r="S11" s="111"/>
      <c r="T11" s="111"/>
      <c r="U11" s="113"/>
      <c r="V11" s="110" t="s">
        <v>10</v>
      </c>
      <c r="W11" s="111"/>
      <c r="X11" s="111"/>
      <c r="Y11" s="111"/>
      <c r="Z11" s="111"/>
      <c r="AA11" s="111"/>
      <c r="AB11" s="111"/>
      <c r="AC11" s="111"/>
      <c r="AD11" s="111"/>
      <c r="AE11" s="111"/>
      <c r="AF11" s="113"/>
      <c r="AG11" s="110" t="s">
        <v>11</v>
      </c>
      <c r="AH11" s="111"/>
      <c r="AI11" s="111"/>
      <c r="AJ11" s="111"/>
      <c r="AK11" s="111"/>
      <c r="AL11" s="111"/>
      <c r="AM11" s="113"/>
      <c r="AN11" s="110" t="s">
        <v>12</v>
      </c>
      <c r="AO11" s="113"/>
    </row>
    <row r="12" spans="1:41" ht="15.75" customHeight="1" x14ac:dyDescent="0.2">
      <c r="A12" s="120"/>
      <c r="B12" s="120"/>
      <c r="C12" s="108" t="s">
        <v>13</v>
      </c>
      <c r="D12" s="106"/>
      <c r="E12" s="107"/>
      <c r="F12" s="105" t="s">
        <v>14</v>
      </c>
      <c r="G12" s="106"/>
      <c r="H12" s="107"/>
      <c r="I12" s="105" t="s">
        <v>15</v>
      </c>
      <c r="J12" s="106"/>
      <c r="K12" s="106"/>
      <c r="L12" s="106"/>
      <c r="M12" s="106"/>
      <c r="N12" s="106"/>
      <c r="O12" s="106"/>
      <c r="P12" s="106"/>
      <c r="Q12" s="106"/>
      <c r="R12" s="106"/>
      <c r="S12" s="106"/>
      <c r="T12" s="106"/>
      <c r="U12" s="123"/>
      <c r="V12" s="108" t="s">
        <v>16</v>
      </c>
      <c r="W12" s="106"/>
      <c r="X12" s="106"/>
      <c r="Y12" s="106"/>
      <c r="Z12" s="106"/>
      <c r="AA12" s="107"/>
      <c r="AB12" s="114" t="s">
        <v>17</v>
      </c>
      <c r="AC12" s="106"/>
      <c r="AD12" s="106"/>
      <c r="AE12" s="106"/>
      <c r="AF12" s="123"/>
      <c r="AG12" s="108" t="s">
        <v>18</v>
      </c>
      <c r="AH12" s="106"/>
      <c r="AI12" s="107"/>
      <c r="AJ12" s="105" t="s">
        <v>19</v>
      </c>
      <c r="AK12" s="106"/>
      <c r="AL12" s="107"/>
      <c r="AM12" s="100" t="s">
        <v>20</v>
      </c>
      <c r="AN12" s="97" t="s">
        <v>21</v>
      </c>
      <c r="AO12" s="100" t="s">
        <v>22</v>
      </c>
    </row>
    <row r="13" spans="1:41" ht="15.75" customHeight="1" x14ac:dyDescent="0.2">
      <c r="A13" s="120"/>
      <c r="B13" s="120"/>
      <c r="C13" s="97" t="s">
        <v>23</v>
      </c>
      <c r="D13" s="92" t="s">
        <v>24</v>
      </c>
      <c r="E13" s="92" t="s">
        <v>20</v>
      </c>
      <c r="F13" s="92" t="s">
        <v>25</v>
      </c>
      <c r="G13" s="92" t="s">
        <v>26</v>
      </c>
      <c r="H13" s="92" t="s">
        <v>20</v>
      </c>
      <c r="I13" s="92" t="s">
        <v>27</v>
      </c>
      <c r="J13" s="105" t="s">
        <v>28</v>
      </c>
      <c r="K13" s="106"/>
      <c r="L13" s="106"/>
      <c r="M13" s="106"/>
      <c r="N13" s="107"/>
      <c r="O13" s="105" t="s">
        <v>29</v>
      </c>
      <c r="P13" s="106"/>
      <c r="Q13" s="106"/>
      <c r="R13" s="106"/>
      <c r="S13" s="107"/>
      <c r="T13" s="92" t="s">
        <v>30</v>
      </c>
      <c r="U13" s="100" t="s">
        <v>31</v>
      </c>
      <c r="V13" s="108" t="s">
        <v>28</v>
      </c>
      <c r="W13" s="107"/>
      <c r="X13" s="105" t="s">
        <v>29</v>
      </c>
      <c r="Y13" s="106"/>
      <c r="Z13" s="106"/>
      <c r="AA13" s="107"/>
      <c r="AB13" s="109" t="s">
        <v>32</v>
      </c>
      <c r="AC13" s="107"/>
      <c r="AD13" s="109" t="s">
        <v>33</v>
      </c>
      <c r="AE13" s="107"/>
      <c r="AF13" s="89" t="s">
        <v>34</v>
      </c>
      <c r="AG13" s="97" t="s">
        <v>35</v>
      </c>
      <c r="AH13" s="92" t="s">
        <v>36</v>
      </c>
      <c r="AI13" s="92" t="s">
        <v>37</v>
      </c>
      <c r="AJ13" s="92" t="s">
        <v>38</v>
      </c>
      <c r="AK13" s="92" t="s">
        <v>39</v>
      </c>
      <c r="AL13" s="94" t="s">
        <v>40</v>
      </c>
      <c r="AM13" s="101"/>
      <c r="AN13" s="98"/>
      <c r="AO13" s="101"/>
    </row>
    <row r="14" spans="1:41" ht="15.75" customHeight="1" x14ac:dyDescent="0.2">
      <c r="A14" s="120"/>
      <c r="B14" s="120"/>
      <c r="C14" s="98"/>
      <c r="D14" s="93"/>
      <c r="E14" s="93"/>
      <c r="F14" s="93"/>
      <c r="G14" s="93"/>
      <c r="H14" s="93"/>
      <c r="I14" s="93"/>
      <c r="J14" s="105" t="s">
        <v>41</v>
      </c>
      <c r="K14" s="106"/>
      <c r="L14" s="107"/>
      <c r="M14" s="92" t="s">
        <v>42</v>
      </c>
      <c r="N14" s="92" t="s">
        <v>43</v>
      </c>
      <c r="O14" s="105" t="s">
        <v>41</v>
      </c>
      <c r="P14" s="106"/>
      <c r="Q14" s="107"/>
      <c r="R14" s="92" t="s">
        <v>42</v>
      </c>
      <c r="S14" s="92" t="s">
        <v>44</v>
      </c>
      <c r="T14" s="93"/>
      <c r="U14" s="101"/>
      <c r="V14" s="97" t="s">
        <v>45</v>
      </c>
      <c r="W14" s="92" t="s">
        <v>46</v>
      </c>
      <c r="X14" s="105" t="s">
        <v>47</v>
      </c>
      <c r="Y14" s="106"/>
      <c r="Z14" s="107"/>
      <c r="AA14" s="92" t="s">
        <v>48</v>
      </c>
      <c r="AB14" s="89" t="s">
        <v>45</v>
      </c>
      <c r="AC14" s="89" t="s">
        <v>46</v>
      </c>
      <c r="AD14" s="91" t="s">
        <v>49</v>
      </c>
      <c r="AE14" s="91" t="s">
        <v>50</v>
      </c>
      <c r="AF14" s="93"/>
      <c r="AG14" s="98"/>
      <c r="AH14" s="93"/>
      <c r="AI14" s="93"/>
      <c r="AJ14" s="93"/>
      <c r="AK14" s="93"/>
      <c r="AL14" s="95"/>
      <c r="AM14" s="101"/>
      <c r="AN14" s="98"/>
      <c r="AO14" s="101"/>
    </row>
    <row r="15" spans="1:41" ht="15.75" customHeight="1" x14ac:dyDescent="0.2">
      <c r="A15" s="121"/>
      <c r="B15" s="121"/>
      <c r="C15" s="99"/>
      <c r="D15" s="90"/>
      <c r="E15" s="90"/>
      <c r="F15" s="90"/>
      <c r="G15" s="90"/>
      <c r="H15" s="90"/>
      <c r="I15" s="90"/>
      <c r="J15" s="6" t="s">
        <v>45</v>
      </c>
      <c r="K15" s="6" t="s">
        <v>46</v>
      </c>
      <c r="L15" s="6" t="s">
        <v>51</v>
      </c>
      <c r="M15" s="90"/>
      <c r="N15" s="90"/>
      <c r="O15" s="6" t="s">
        <v>47</v>
      </c>
      <c r="P15" s="6" t="s">
        <v>48</v>
      </c>
      <c r="Q15" s="6" t="s">
        <v>20</v>
      </c>
      <c r="R15" s="90"/>
      <c r="S15" s="90"/>
      <c r="T15" s="90"/>
      <c r="U15" s="102"/>
      <c r="V15" s="99"/>
      <c r="W15" s="90"/>
      <c r="X15" s="6" t="s">
        <v>52</v>
      </c>
      <c r="Y15" s="6" t="s">
        <v>53</v>
      </c>
      <c r="Z15" s="6" t="s">
        <v>20</v>
      </c>
      <c r="AA15" s="90"/>
      <c r="AB15" s="90"/>
      <c r="AC15" s="90"/>
      <c r="AD15" s="90"/>
      <c r="AE15" s="90"/>
      <c r="AF15" s="90"/>
      <c r="AG15" s="99"/>
      <c r="AH15" s="90"/>
      <c r="AI15" s="90"/>
      <c r="AJ15" s="90"/>
      <c r="AK15" s="90"/>
      <c r="AL15" s="96"/>
      <c r="AM15" s="102"/>
      <c r="AN15" s="99"/>
      <c r="AO15" s="102"/>
    </row>
    <row r="16" spans="1:41" ht="15.75" customHeight="1" x14ac:dyDescent="0.2">
      <c r="A16" s="57"/>
      <c r="B16" s="58">
        <f>'Quarter 4'!B16</f>
        <v>0</v>
      </c>
      <c r="C16" s="59" t="e">
        <f>SUM(#REF!, 'Quarter 2'!C16, 'Quarter 3'!C16, 'Quarter 4'!C16)</f>
        <v>#REF!</v>
      </c>
      <c r="D16" s="10" t="e">
        <f>SUM(#REF!, 'Quarter 2'!D16, 'Quarter 3'!D16, 'Quarter 4'!D16)</f>
        <v>#REF!</v>
      </c>
      <c r="E16" s="11" t="e">
        <f t="shared" ref="E16:E34" si="0">SUM(C16,D16)</f>
        <v>#REF!</v>
      </c>
      <c r="F16" s="10" t="e">
        <f>SUM(#REF!, 'Quarter 2'!F16, 'Quarter 3'!F16, 'Quarter 4'!F16)</f>
        <v>#REF!</v>
      </c>
      <c r="G16" s="10" t="e">
        <f>SUM(#REF!, 'Quarter 2'!G16, 'Quarter 3'!G16, 'Quarter 4'!G16)</f>
        <v>#REF!</v>
      </c>
      <c r="H16" s="11" t="e">
        <f t="shared" ref="H16:H35" si="1">F16+G16</f>
        <v>#REF!</v>
      </c>
      <c r="I16" s="10" t="e">
        <f>SUM(#REF!, 'Quarter 2'!I16, 'Quarter 3'!I16, 'Quarter 4'!I16)</f>
        <v>#REF!</v>
      </c>
      <c r="J16" s="10" t="e">
        <f>SUM(#REF!, 'Quarter 2'!J16, 'Quarter 3'!J16, 'Quarter 4'!J16)</f>
        <v>#REF!</v>
      </c>
      <c r="K16" s="10" t="e">
        <f>SUM(#REF!, 'Quarter 2'!K16, 'Quarter 3'!K16, 'Quarter 4'!K16)</f>
        <v>#REF!</v>
      </c>
      <c r="L16" s="11" t="e">
        <f t="shared" ref="L16:L35" si="2">SUM(J16,K16)</f>
        <v>#REF!</v>
      </c>
      <c r="M16" s="10" t="e">
        <f>SUM(#REF!, 'Quarter 2'!M16, 'Quarter 3'!M16, 'Quarter 4'!M16)</f>
        <v>#REF!</v>
      </c>
      <c r="N16" s="12" t="e">
        <f t="shared" ref="N16:N35" si="3">SUM(M16)</f>
        <v>#REF!</v>
      </c>
      <c r="O16" s="10" t="e">
        <f>SUM(#REF!, 'Quarter 2'!O16, 'Quarter 3'!O16, 'Quarter 4'!O16)</f>
        <v>#REF!</v>
      </c>
      <c r="P16" s="10" t="e">
        <f>SUM(#REF!, 'Quarter 2'!P16, 'Quarter 3'!P16, 'Quarter 4'!P16)</f>
        <v>#REF!</v>
      </c>
      <c r="Q16" s="11" t="e">
        <f t="shared" ref="Q16:Q35" si="4">SUM(O16,P16)</f>
        <v>#REF!</v>
      </c>
      <c r="R16" s="10" t="e">
        <f>SUM(#REF!, 'Quarter 2'!R16, 'Quarter 3'!R16, 'Quarter 4'!R16)</f>
        <v>#REF!</v>
      </c>
      <c r="S16" s="12" t="e">
        <f t="shared" ref="S16:S35" si="5">SUM(Q16,R16)</f>
        <v>#REF!</v>
      </c>
      <c r="T16" s="12" t="e">
        <f>SUM(L16,Q16)</f>
        <v>#REF!</v>
      </c>
      <c r="U16" s="60" t="e">
        <f t="shared" ref="U16:U35" si="6">SUM(I16,N16,S16)</f>
        <v>#REF!</v>
      </c>
      <c r="V16" s="59" t="e">
        <f>SUM(#REF!, 'Quarter 2'!V16, 'Quarter 3'!V16, 'Quarter 4'!V16)</f>
        <v>#REF!</v>
      </c>
      <c r="W16" s="10" t="e">
        <f>SUM(#REF!, 'Quarter 2'!W16, 'Quarter 3'!W16, 'Quarter 4'!W16)</f>
        <v>#REF!</v>
      </c>
      <c r="X16" s="10" t="e">
        <f>SUM(#REF!, 'Quarter 2'!X16, 'Quarter 3'!X16, 'Quarter 4'!X16)</f>
        <v>#REF!</v>
      </c>
      <c r="Y16" s="10" t="e">
        <f>SUM(#REF!, 'Quarter 2'!Y16, 'Quarter 3'!Y16, 'Quarter 4'!Y16)</f>
        <v>#REF!</v>
      </c>
      <c r="Z16" s="12" t="e">
        <f t="shared" ref="Z16:Z35" si="7">SUM(X16,Y16)</f>
        <v>#REF!</v>
      </c>
      <c r="AA16" s="10" t="e">
        <f>SUM(#REF!, 'Quarter 2'!AA16, 'Quarter 3'!AA16, 'Quarter 4'!AA16)</f>
        <v>#REF!</v>
      </c>
      <c r="AB16" s="16">
        <f t="shared" ref="AB16:AC16" si="8">IFERROR(V16/J16, 0)</f>
        <v>0</v>
      </c>
      <c r="AC16" s="16">
        <f t="shared" si="8"/>
        <v>0</v>
      </c>
      <c r="AD16" s="16">
        <f t="shared" ref="AD16:AE16" si="9">IFERROR(Z16/O16, 0)</f>
        <v>0</v>
      </c>
      <c r="AE16" s="16">
        <f t="shared" si="9"/>
        <v>0</v>
      </c>
      <c r="AF16" s="16">
        <f t="shared" ref="AF16:AF36" si="10">IFERROR(SUM(V16,W16,Z16,AA16)/SUM(L16,Q16), 0)</f>
        <v>0</v>
      </c>
      <c r="AG16" s="59" t="e">
        <f>SUM(#REF!, 'Quarter 2'!AG16, 'Quarter 3'!AG16, 'Quarter 4'!AG16)</f>
        <v>#REF!</v>
      </c>
      <c r="AH16" s="10" t="e">
        <f>SUM(#REF!, 'Quarter 2'!AH16, 'Quarter 3'!AH16, 'Quarter 4'!AH16)</f>
        <v>#REF!</v>
      </c>
      <c r="AI16" s="10" t="e">
        <f>SUM(#REF!, 'Quarter 2'!AI16, 'Quarter 3'!AI16, 'Quarter 4'!AI16)</f>
        <v>#REF!</v>
      </c>
      <c r="AJ16" s="10" t="e">
        <f>SUM(#REF!, 'Quarter 2'!AJ16, 'Quarter 3'!AJ16, 'Quarter 4'!AJ16)</f>
        <v>#REF!</v>
      </c>
      <c r="AK16" s="10" t="e">
        <f>SUM(#REF!, 'Quarter 2'!AK16, 'Quarter 3'!AK16, 'Quarter 4'!AK16)</f>
        <v>#REF!</v>
      </c>
      <c r="AL16" s="10" t="e">
        <f>SUM(#REF!, 'Quarter 2'!AL16, 'Quarter 3'!AL16, 'Quarter 4'!AL16)</f>
        <v>#REF!</v>
      </c>
      <c r="AM16" s="60" t="e">
        <f t="shared" ref="AM16:AM35" si="11">SUM(AG16,AH16,AI16)</f>
        <v>#REF!</v>
      </c>
      <c r="AN16" s="59" t="e">
        <f>SUM(#REF!, 'Quarter 2'!AO16, 'Quarter 3'!AN16, 'Quarter 4'!AN16)</f>
        <v>#REF!</v>
      </c>
      <c r="AO16" s="18">
        <f t="shared" ref="AO16:AO36" si="12">IFERROR((AN16/B16)*1000000, 0)</f>
        <v>0</v>
      </c>
    </row>
    <row r="17" spans="1:41" ht="15.75" customHeight="1" x14ac:dyDescent="0.2">
      <c r="A17" s="61"/>
      <c r="B17" s="62">
        <f>'Quarter 4'!B17</f>
        <v>0</v>
      </c>
      <c r="C17" s="63" t="e">
        <f>SUM(#REF!, 'Quarter 2'!C17, 'Quarter 3'!C17, 'Quarter 4'!C17)</f>
        <v>#REF!</v>
      </c>
      <c r="D17" s="22" t="e">
        <f>SUM(#REF!, 'Quarter 2'!D17, 'Quarter 3'!D17, 'Quarter 4'!D17)</f>
        <v>#REF!</v>
      </c>
      <c r="E17" s="23" t="e">
        <f t="shared" si="0"/>
        <v>#REF!</v>
      </c>
      <c r="F17" s="22" t="e">
        <f>SUM(#REF!, 'Quarter 2'!F17, 'Quarter 3'!F17, 'Quarter 4'!F17)</f>
        <v>#REF!</v>
      </c>
      <c r="G17" s="22" t="e">
        <f>SUM(#REF!, 'Quarter 2'!G17, 'Quarter 3'!G17, 'Quarter 4'!G17)</f>
        <v>#REF!</v>
      </c>
      <c r="H17" s="23" t="e">
        <f t="shared" si="1"/>
        <v>#REF!</v>
      </c>
      <c r="I17" s="22" t="e">
        <f>SUM(#REF!, 'Quarter 2'!I17, 'Quarter 3'!I17, 'Quarter 4'!I17)</f>
        <v>#REF!</v>
      </c>
      <c r="J17" s="22" t="e">
        <f>SUM(#REF!, 'Quarter 2'!J17, 'Quarter 3'!J17, 'Quarter 4'!J17)</f>
        <v>#REF!</v>
      </c>
      <c r="K17" s="22" t="e">
        <f>SUM(#REF!, 'Quarter 2'!K17, 'Quarter 3'!K17, 'Quarter 4'!K17)</f>
        <v>#REF!</v>
      </c>
      <c r="L17" s="23" t="e">
        <f t="shared" si="2"/>
        <v>#REF!</v>
      </c>
      <c r="M17" s="22" t="e">
        <f>SUM(#REF!, 'Quarter 2'!M17, 'Quarter 3'!M17, 'Quarter 4'!M17)</f>
        <v>#REF!</v>
      </c>
      <c r="N17" s="24" t="e">
        <f t="shared" si="3"/>
        <v>#REF!</v>
      </c>
      <c r="O17" s="22" t="e">
        <f>SUM(#REF!, 'Quarter 2'!O17, 'Quarter 3'!O17, 'Quarter 4'!O17)</f>
        <v>#REF!</v>
      </c>
      <c r="P17" s="22" t="e">
        <f>SUM(#REF!, 'Quarter 2'!P17, 'Quarter 3'!P17, 'Quarter 4'!P17)</f>
        <v>#REF!</v>
      </c>
      <c r="Q17" s="23" t="e">
        <f t="shared" si="4"/>
        <v>#REF!</v>
      </c>
      <c r="R17" s="22" t="e">
        <f>SUM(#REF!, 'Quarter 2'!R17, 'Quarter 3'!R17, 'Quarter 4'!R17)</f>
        <v>#REF!</v>
      </c>
      <c r="S17" s="24" t="e">
        <f t="shared" si="5"/>
        <v>#REF!</v>
      </c>
      <c r="T17" s="24" t="e">
        <f t="shared" ref="T17:T35" si="13">SUM(J17,K17,O17,P17)</f>
        <v>#REF!</v>
      </c>
      <c r="U17" s="64" t="e">
        <f t="shared" si="6"/>
        <v>#REF!</v>
      </c>
      <c r="V17" s="63" t="e">
        <f>SUM(#REF!, 'Quarter 2'!V17, 'Quarter 3'!V17, 'Quarter 4'!V17)</f>
        <v>#REF!</v>
      </c>
      <c r="W17" s="22" t="e">
        <f>SUM(#REF!, 'Quarter 2'!W17, 'Quarter 3'!W17, 'Quarter 4'!W17)</f>
        <v>#REF!</v>
      </c>
      <c r="X17" s="22" t="e">
        <f>SUM(#REF!, 'Quarter 2'!X17, 'Quarter 3'!X17, 'Quarter 4'!X17)</f>
        <v>#REF!</v>
      </c>
      <c r="Y17" s="22" t="e">
        <f>SUM(#REF!, 'Quarter 2'!Y17, 'Quarter 3'!Y17, 'Quarter 4'!Y17)</f>
        <v>#REF!</v>
      </c>
      <c r="Z17" s="24" t="e">
        <f t="shared" si="7"/>
        <v>#REF!</v>
      </c>
      <c r="AA17" s="22" t="e">
        <f>SUM(#REF!, 'Quarter 2'!AA17, 'Quarter 3'!AA17, 'Quarter 4'!AA17)</f>
        <v>#REF!</v>
      </c>
      <c r="AB17" s="28">
        <f t="shared" ref="AB17:AC17" si="14">IFERROR(V17/J17, 0)</f>
        <v>0</v>
      </c>
      <c r="AC17" s="28">
        <f t="shared" si="14"/>
        <v>0</v>
      </c>
      <c r="AD17" s="28">
        <f t="shared" ref="AD17:AE17" si="15">IFERROR(Z17/O17, 0)</f>
        <v>0</v>
      </c>
      <c r="AE17" s="28">
        <f t="shared" si="15"/>
        <v>0</v>
      </c>
      <c r="AF17" s="28">
        <f t="shared" si="10"/>
        <v>0</v>
      </c>
      <c r="AG17" s="63" t="e">
        <f>SUM(#REF!, 'Quarter 2'!AG17, 'Quarter 3'!AG17, 'Quarter 4'!AG17)</f>
        <v>#REF!</v>
      </c>
      <c r="AH17" s="22" t="e">
        <f>SUM(#REF!, 'Quarter 2'!AH17, 'Quarter 3'!AH17, 'Quarter 4'!AH17)</f>
        <v>#REF!</v>
      </c>
      <c r="AI17" s="22" t="e">
        <f>SUM(#REF!, 'Quarter 2'!AI17, 'Quarter 3'!AI17, 'Quarter 4'!AI17)</f>
        <v>#REF!</v>
      </c>
      <c r="AJ17" s="22" t="e">
        <f>SUM(#REF!, 'Quarter 2'!AJ17, 'Quarter 3'!AJ17, 'Quarter 4'!AJ17)</f>
        <v>#REF!</v>
      </c>
      <c r="AK17" s="22" t="e">
        <f>SUM(#REF!, 'Quarter 2'!AK17, 'Quarter 3'!AK17, 'Quarter 4'!AK17)</f>
        <v>#REF!</v>
      </c>
      <c r="AL17" s="22" t="e">
        <f>SUM(#REF!, 'Quarter 2'!AL17, 'Quarter 3'!AL17, 'Quarter 4'!AL17)</f>
        <v>#REF!</v>
      </c>
      <c r="AM17" s="64" t="e">
        <f t="shared" si="11"/>
        <v>#REF!</v>
      </c>
      <c r="AN17" s="63" t="e">
        <f>SUM(#REF!, 'Quarter 2'!AO17, 'Quarter 3'!AN17, 'Quarter 4'!AN17)</f>
        <v>#REF!</v>
      </c>
      <c r="AO17" s="30">
        <f t="shared" si="12"/>
        <v>0</v>
      </c>
    </row>
    <row r="18" spans="1:41" ht="15.75" customHeight="1" x14ac:dyDescent="0.2">
      <c r="A18" s="61"/>
      <c r="B18" s="62">
        <f>'Quarter 4'!B18</f>
        <v>0</v>
      </c>
      <c r="C18" s="63" t="e">
        <f>SUM(#REF!, 'Quarter 2'!C18, 'Quarter 3'!C18, 'Quarter 4'!C18)</f>
        <v>#REF!</v>
      </c>
      <c r="D18" s="22" t="e">
        <f>SUM(#REF!, 'Quarter 2'!D18, 'Quarter 3'!D18, 'Quarter 4'!D18)</f>
        <v>#REF!</v>
      </c>
      <c r="E18" s="23" t="e">
        <f t="shared" si="0"/>
        <v>#REF!</v>
      </c>
      <c r="F18" s="22" t="e">
        <f>SUM(#REF!, 'Quarter 2'!F18, 'Quarter 3'!F18, 'Quarter 4'!F18)</f>
        <v>#REF!</v>
      </c>
      <c r="G18" s="22" t="e">
        <f>SUM(#REF!, 'Quarter 2'!G18, 'Quarter 3'!G18, 'Quarter 4'!G18)</f>
        <v>#REF!</v>
      </c>
      <c r="H18" s="23" t="e">
        <f t="shared" si="1"/>
        <v>#REF!</v>
      </c>
      <c r="I18" s="22" t="e">
        <f>SUM(#REF!, 'Quarter 2'!I18, 'Quarter 3'!I18, 'Quarter 4'!I18)</f>
        <v>#REF!</v>
      </c>
      <c r="J18" s="22" t="e">
        <f>SUM(#REF!, 'Quarter 2'!J18, 'Quarter 3'!J18, 'Quarter 4'!J18)</f>
        <v>#REF!</v>
      </c>
      <c r="K18" s="22" t="e">
        <f>SUM(#REF!, 'Quarter 2'!K18, 'Quarter 3'!K18, 'Quarter 4'!K18)</f>
        <v>#REF!</v>
      </c>
      <c r="L18" s="23" t="e">
        <f t="shared" si="2"/>
        <v>#REF!</v>
      </c>
      <c r="M18" s="22" t="e">
        <f>SUM(#REF!, 'Quarter 2'!M18, 'Quarter 3'!M18, 'Quarter 4'!M18)</f>
        <v>#REF!</v>
      </c>
      <c r="N18" s="24" t="e">
        <f t="shared" si="3"/>
        <v>#REF!</v>
      </c>
      <c r="O18" s="22" t="e">
        <f>SUM(#REF!, 'Quarter 2'!O18, 'Quarter 3'!O18, 'Quarter 4'!O18)</f>
        <v>#REF!</v>
      </c>
      <c r="P18" s="22" t="e">
        <f>SUM(#REF!, 'Quarter 2'!P18, 'Quarter 3'!P18, 'Quarter 4'!P18)</f>
        <v>#REF!</v>
      </c>
      <c r="Q18" s="23" t="e">
        <f t="shared" si="4"/>
        <v>#REF!</v>
      </c>
      <c r="R18" s="22" t="e">
        <f>SUM(#REF!, 'Quarter 2'!R18, 'Quarter 3'!R18, 'Quarter 4'!R18)</f>
        <v>#REF!</v>
      </c>
      <c r="S18" s="24" t="e">
        <f t="shared" si="5"/>
        <v>#REF!</v>
      </c>
      <c r="T18" s="24" t="e">
        <f t="shared" si="13"/>
        <v>#REF!</v>
      </c>
      <c r="U18" s="64" t="e">
        <f t="shared" si="6"/>
        <v>#REF!</v>
      </c>
      <c r="V18" s="63" t="e">
        <f>SUM(#REF!, 'Quarter 2'!V18, 'Quarter 3'!V18, 'Quarter 4'!V18)</f>
        <v>#REF!</v>
      </c>
      <c r="W18" s="22" t="e">
        <f>SUM(#REF!, 'Quarter 2'!W18, 'Quarter 3'!W18, 'Quarter 4'!W18)</f>
        <v>#REF!</v>
      </c>
      <c r="X18" s="22" t="e">
        <f>SUM(#REF!, 'Quarter 2'!X18, 'Quarter 3'!X18, 'Quarter 4'!X18)</f>
        <v>#REF!</v>
      </c>
      <c r="Y18" s="22" t="e">
        <f>SUM(#REF!, 'Quarter 2'!Y18, 'Quarter 3'!Y18, 'Quarter 4'!Y18)</f>
        <v>#REF!</v>
      </c>
      <c r="Z18" s="24" t="e">
        <f t="shared" si="7"/>
        <v>#REF!</v>
      </c>
      <c r="AA18" s="22" t="e">
        <f>SUM(#REF!, 'Quarter 2'!AA18, 'Quarter 3'!AA18, 'Quarter 4'!AA18)</f>
        <v>#REF!</v>
      </c>
      <c r="AB18" s="28">
        <f t="shared" ref="AB18:AC18" si="16">IFERROR(V18/J18, 0)</f>
        <v>0</v>
      </c>
      <c r="AC18" s="28">
        <f t="shared" si="16"/>
        <v>0</v>
      </c>
      <c r="AD18" s="28">
        <f t="shared" ref="AD18:AE18" si="17">IFERROR(Z18/O18, 0)</f>
        <v>0</v>
      </c>
      <c r="AE18" s="28">
        <f t="shared" si="17"/>
        <v>0</v>
      </c>
      <c r="AF18" s="28">
        <f t="shared" si="10"/>
        <v>0</v>
      </c>
      <c r="AG18" s="63" t="e">
        <f>SUM(#REF!, 'Quarter 2'!AG18, 'Quarter 3'!AG18, 'Quarter 4'!AG18)</f>
        <v>#REF!</v>
      </c>
      <c r="AH18" s="22" t="e">
        <f>SUM(#REF!, 'Quarter 2'!AH18, 'Quarter 3'!AH18, 'Quarter 4'!AH18)</f>
        <v>#REF!</v>
      </c>
      <c r="AI18" s="22" t="e">
        <f>SUM(#REF!, 'Quarter 2'!AI18, 'Quarter 3'!AI18, 'Quarter 4'!AI18)</f>
        <v>#REF!</v>
      </c>
      <c r="AJ18" s="22" t="e">
        <f>SUM(#REF!, 'Quarter 2'!AJ18, 'Quarter 3'!AJ18, 'Quarter 4'!AJ18)</f>
        <v>#REF!</v>
      </c>
      <c r="AK18" s="22" t="e">
        <f>SUM(#REF!, 'Quarter 2'!AK18, 'Quarter 3'!AK18, 'Quarter 4'!AK18)</f>
        <v>#REF!</v>
      </c>
      <c r="AL18" s="22" t="e">
        <f>SUM(#REF!, 'Quarter 2'!AL18, 'Quarter 3'!AL18, 'Quarter 4'!AL18)</f>
        <v>#REF!</v>
      </c>
      <c r="AM18" s="64" t="e">
        <f t="shared" si="11"/>
        <v>#REF!</v>
      </c>
      <c r="AN18" s="63" t="e">
        <f>SUM(#REF!, 'Quarter 2'!AO18, 'Quarter 3'!AN18, 'Quarter 4'!AN18)</f>
        <v>#REF!</v>
      </c>
      <c r="AO18" s="30">
        <f t="shared" si="12"/>
        <v>0</v>
      </c>
    </row>
    <row r="19" spans="1:41" ht="15.75" customHeight="1" x14ac:dyDescent="0.2">
      <c r="A19" s="61"/>
      <c r="B19" s="62">
        <f>'Quarter 4'!B19</f>
        <v>0</v>
      </c>
      <c r="C19" s="63" t="e">
        <f>SUM(#REF!, 'Quarter 2'!C19, 'Quarter 3'!C19, 'Quarter 4'!C19)</f>
        <v>#REF!</v>
      </c>
      <c r="D19" s="22" t="e">
        <f>SUM(#REF!, 'Quarter 2'!D19, 'Quarter 3'!D19, 'Quarter 4'!D19)</f>
        <v>#REF!</v>
      </c>
      <c r="E19" s="23" t="e">
        <f t="shared" si="0"/>
        <v>#REF!</v>
      </c>
      <c r="F19" s="22" t="e">
        <f>SUM(#REF!, 'Quarter 2'!F19, 'Quarter 3'!F19, 'Quarter 4'!F19)</f>
        <v>#REF!</v>
      </c>
      <c r="G19" s="22" t="e">
        <f>SUM(#REF!, 'Quarter 2'!G19, 'Quarter 3'!G19, 'Quarter 4'!G19)</f>
        <v>#REF!</v>
      </c>
      <c r="H19" s="23" t="e">
        <f t="shared" si="1"/>
        <v>#REF!</v>
      </c>
      <c r="I19" s="22" t="e">
        <f>SUM(#REF!, 'Quarter 2'!I19, 'Quarter 3'!I19, 'Quarter 4'!I19)</f>
        <v>#REF!</v>
      </c>
      <c r="J19" s="22" t="e">
        <f>SUM(#REF!, 'Quarter 2'!J19, 'Quarter 3'!J19, 'Quarter 4'!J19)</f>
        <v>#REF!</v>
      </c>
      <c r="K19" s="22" t="e">
        <f>SUM(#REF!, 'Quarter 2'!K19, 'Quarter 3'!K19, 'Quarter 4'!K19)</f>
        <v>#REF!</v>
      </c>
      <c r="L19" s="23" t="e">
        <f t="shared" si="2"/>
        <v>#REF!</v>
      </c>
      <c r="M19" s="22" t="e">
        <f>SUM(#REF!, 'Quarter 2'!M19, 'Quarter 3'!M19, 'Quarter 4'!M19)</f>
        <v>#REF!</v>
      </c>
      <c r="N19" s="24" t="e">
        <f t="shared" si="3"/>
        <v>#REF!</v>
      </c>
      <c r="O19" s="22" t="e">
        <f>SUM(#REF!, 'Quarter 2'!O19, 'Quarter 3'!O19, 'Quarter 4'!O19)</f>
        <v>#REF!</v>
      </c>
      <c r="P19" s="22" t="e">
        <f>SUM(#REF!, 'Quarter 2'!P19, 'Quarter 3'!P19, 'Quarter 4'!P19)</f>
        <v>#REF!</v>
      </c>
      <c r="Q19" s="23" t="e">
        <f t="shared" si="4"/>
        <v>#REF!</v>
      </c>
      <c r="R19" s="22" t="e">
        <f>SUM(#REF!, 'Quarter 2'!R19, 'Quarter 3'!R19, 'Quarter 4'!R19)</f>
        <v>#REF!</v>
      </c>
      <c r="S19" s="24" t="e">
        <f t="shared" si="5"/>
        <v>#REF!</v>
      </c>
      <c r="T19" s="24" t="e">
        <f t="shared" si="13"/>
        <v>#REF!</v>
      </c>
      <c r="U19" s="64" t="e">
        <f t="shared" si="6"/>
        <v>#REF!</v>
      </c>
      <c r="V19" s="63" t="e">
        <f>SUM(#REF!, 'Quarter 2'!V19, 'Quarter 3'!V19, 'Quarter 4'!V19)</f>
        <v>#REF!</v>
      </c>
      <c r="W19" s="22" t="e">
        <f>SUM(#REF!, 'Quarter 2'!W19, 'Quarter 3'!W19, 'Quarter 4'!W19)</f>
        <v>#REF!</v>
      </c>
      <c r="X19" s="22" t="e">
        <f>SUM(#REF!, 'Quarter 2'!X19, 'Quarter 3'!X19, 'Quarter 4'!X19)</f>
        <v>#REF!</v>
      </c>
      <c r="Y19" s="22" t="e">
        <f>SUM(#REF!, 'Quarter 2'!Y19, 'Quarter 3'!Y19, 'Quarter 4'!Y19)</f>
        <v>#REF!</v>
      </c>
      <c r="Z19" s="24" t="e">
        <f t="shared" si="7"/>
        <v>#REF!</v>
      </c>
      <c r="AA19" s="22" t="e">
        <f>SUM(#REF!, 'Quarter 2'!AA19, 'Quarter 3'!AA19, 'Quarter 4'!AA19)</f>
        <v>#REF!</v>
      </c>
      <c r="AB19" s="28">
        <f t="shared" ref="AB19:AC19" si="18">IFERROR(V19/J19, 0)</f>
        <v>0</v>
      </c>
      <c r="AC19" s="28">
        <f t="shared" si="18"/>
        <v>0</v>
      </c>
      <c r="AD19" s="28">
        <f t="shared" ref="AD19:AE19" si="19">IFERROR(Z19/O19, 0)</f>
        <v>0</v>
      </c>
      <c r="AE19" s="28">
        <f t="shared" si="19"/>
        <v>0</v>
      </c>
      <c r="AF19" s="28">
        <f t="shared" si="10"/>
        <v>0</v>
      </c>
      <c r="AG19" s="63" t="e">
        <f>SUM(#REF!, 'Quarter 2'!AG19, 'Quarter 3'!AG19, 'Quarter 4'!AG19)</f>
        <v>#REF!</v>
      </c>
      <c r="AH19" s="22" t="e">
        <f>SUM(#REF!, 'Quarter 2'!AH19, 'Quarter 3'!AH19, 'Quarter 4'!AH19)</f>
        <v>#REF!</v>
      </c>
      <c r="AI19" s="22" t="e">
        <f>SUM(#REF!, 'Quarter 2'!AI19, 'Quarter 3'!AI19, 'Quarter 4'!AI19)</f>
        <v>#REF!</v>
      </c>
      <c r="AJ19" s="22" t="e">
        <f>SUM(#REF!, 'Quarter 2'!AJ19, 'Quarter 3'!AJ19, 'Quarter 4'!AJ19)</f>
        <v>#REF!</v>
      </c>
      <c r="AK19" s="22" t="e">
        <f>SUM(#REF!, 'Quarter 2'!AK19, 'Quarter 3'!AK19, 'Quarter 4'!AK19)</f>
        <v>#REF!</v>
      </c>
      <c r="AL19" s="22" t="e">
        <f>SUM(#REF!, 'Quarter 2'!AL19, 'Quarter 3'!AL19, 'Quarter 4'!AL19)</f>
        <v>#REF!</v>
      </c>
      <c r="AM19" s="64" t="e">
        <f t="shared" si="11"/>
        <v>#REF!</v>
      </c>
      <c r="AN19" s="63" t="e">
        <f>SUM(#REF!, 'Quarter 2'!AO19, 'Quarter 3'!AN19, 'Quarter 4'!AN19)</f>
        <v>#REF!</v>
      </c>
      <c r="AO19" s="30">
        <f t="shared" si="12"/>
        <v>0</v>
      </c>
    </row>
    <row r="20" spans="1:41" ht="15.75" customHeight="1" x14ac:dyDescent="0.2">
      <c r="A20" s="61"/>
      <c r="B20" s="62">
        <f>'Quarter 4'!B20</f>
        <v>0</v>
      </c>
      <c r="C20" s="63" t="e">
        <f>SUM(#REF!, 'Quarter 2'!C20, 'Quarter 3'!C20, 'Quarter 4'!C20)</f>
        <v>#REF!</v>
      </c>
      <c r="D20" s="22" t="e">
        <f>SUM(#REF!, 'Quarter 2'!D20, 'Quarter 3'!D20, 'Quarter 4'!D20)</f>
        <v>#REF!</v>
      </c>
      <c r="E20" s="23" t="e">
        <f t="shared" si="0"/>
        <v>#REF!</v>
      </c>
      <c r="F20" s="22" t="e">
        <f>SUM(#REF!, 'Quarter 2'!F20, 'Quarter 3'!F20, 'Quarter 4'!F20)</f>
        <v>#REF!</v>
      </c>
      <c r="G20" s="22" t="e">
        <f>SUM(#REF!, 'Quarter 2'!G20, 'Quarter 3'!G20, 'Quarter 4'!G20)</f>
        <v>#REF!</v>
      </c>
      <c r="H20" s="23" t="e">
        <f t="shared" si="1"/>
        <v>#REF!</v>
      </c>
      <c r="I20" s="22" t="e">
        <f>SUM(#REF!, 'Quarter 2'!I20, 'Quarter 3'!I20, 'Quarter 4'!I20)</f>
        <v>#REF!</v>
      </c>
      <c r="J20" s="22" t="e">
        <f>SUM(#REF!, 'Quarter 2'!J20, 'Quarter 3'!J20, 'Quarter 4'!J20)</f>
        <v>#REF!</v>
      </c>
      <c r="K20" s="22" t="e">
        <f>SUM(#REF!, 'Quarter 2'!K20, 'Quarter 3'!K20, 'Quarter 4'!K20)</f>
        <v>#REF!</v>
      </c>
      <c r="L20" s="23" t="e">
        <f t="shared" si="2"/>
        <v>#REF!</v>
      </c>
      <c r="M20" s="22" t="e">
        <f>SUM(#REF!, 'Quarter 2'!M20, 'Quarter 3'!M20, 'Quarter 4'!M20)</f>
        <v>#REF!</v>
      </c>
      <c r="N20" s="24" t="e">
        <f t="shared" si="3"/>
        <v>#REF!</v>
      </c>
      <c r="O20" s="22" t="e">
        <f>SUM(#REF!, 'Quarter 2'!O20, 'Quarter 3'!O20, 'Quarter 4'!O20)</f>
        <v>#REF!</v>
      </c>
      <c r="P20" s="22" t="e">
        <f>SUM(#REF!, 'Quarter 2'!P20, 'Quarter 3'!P20, 'Quarter 4'!P20)</f>
        <v>#REF!</v>
      </c>
      <c r="Q20" s="23" t="e">
        <f t="shared" si="4"/>
        <v>#REF!</v>
      </c>
      <c r="R20" s="22" t="e">
        <f>SUM(#REF!, 'Quarter 2'!R20, 'Quarter 3'!R20, 'Quarter 4'!R20)</f>
        <v>#REF!</v>
      </c>
      <c r="S20" s="24" t="e">
        <f t="shared" si="5"/>
        <v>#REF!</v>
      </c>
      <c r="T20" s="24" t="e">
        <f t="shared" si="13"/>
        <v>#REF!</v>
      </c>
      <c r="U20" s="64" t="e">
        <f t="shared" si="6"/>
        <v>#REF!</v>
      </c>
      <c r="V20" s="63" t="e">
        <f>SUM(#REF!, 'Quarter 2'!V20, 'Quarter 3'!V20, 'Quarter 4'!V20)</f>
        <v>#REF!</v>
      </c>
      <c r="W20" s="22" t="e">
        <f>SUM(#REF!, 'Quarter 2'!W20, 'Quarter 3'!W20, 'Quarter 4'!W20)</f>
        <v>#REF!</v>
      </c>
      <c r="X20" s="22" t="e">
        <f>SUM(#REF!, 'Quarter 2'!X20, 'Quarter 3'!X20, 'Quarter 4'!X20)</f>
        <v>#REF!</v>
      </c>
      <c r="Y20" s="22" t="e">
        <f>SUM(#REF!, 'Quarter 2'!Y20, 'Quarter 3'!Y20, 'Quarter 4'!Y20)</f>
        <v>#REF!</v>
      </c>
      <c r="Z20" s="24" t="e">
        <f t="shared" si="7"/>
        <v>#REF!</v>
      </c>
      <c r="AA20" s="22" t="e">
        <f>SUM(#REF!, 'Quarter 2'!AA20, 'Quarter 3'!AA20, 'Quarter 4'!AA20)</f>
        <v>#REF!</v>
      </c>
      <c r="AB20" s="28">
        <f t="shared" ref="AB20:AC20" si="20">IFERROR(V20/J20, 0)</f>
        <v>0</v>
      </c>
      <c r="AC20" s="28">
        <f t="shared" si="20"/>
        <v>0</v>
      </c>
      <c r="AD20" s="28">
        <f t="shared" ref="AD20:AE20" si="21">IFERROR(Z20/O20, 0)</f>
        <v>0</v>
      </c>
      <c r="AE20" s="28">
        <f t="shared" si="21"/>
        <v>0</v>
      </c>
      <c r="AF20" s="28">
        <f t="shared" si="10"/>
        <v>0</v>
      </c>
      <c r="AG20" s="63" t="e">
        <f>SUM(#REF!, 'Quarter 2'!AG20, 'Quarter 3'!AG20, 'Quarter 4'!AG20)</f>
        <v>#REF!</v>
      </c>
      <c r="AH20" s="22" t="e">
        <f>SUM(#REF!, 'Quarter 2'!AH20, 'Quarter 3'!AH20, 'Quarter 4'!AH20)</f>
        <v>#REF!</v>
      </c>
      <c r="AI20" s="22" t="e">
        <f>SUM(#REF!, 'Quarter 2'!AI20, 'Quarter 3'!AI20, 'Quarter 4'!AI20)</f>
        <v>#REF!</v>
      </c>
      <c r="AJ20" s="22" t="e">
        <f>SUM(#REF!, 'Quarter 2'!AJ20, 'Quarter 3'!AJ20, 'Quarter 4'!AJ20)</f>
        <v>#REF!</v>
      </c>
      <c r="AK20" s="22" t="e">
        <f>SUM(#REF!, 'Quarter 2'!AK20, 'Quarter 3'!AK20, 'Quarter 4'!AK20)</f>
        <v>#REF!</v>
      </c>
      <c r="AL20" s="22" t="e">
        <f>SUM(#REF!, 'Quarter 2'!AL20, 'Quarter 3'!AL20, 'Quarter 4'!AL20)</f>
        <v>#REF!</v>
      </c>
      <c r="AM20" s="64" t="e">
        <f t="shared" si="11"/>
        <v>#REF!</v>
      </c>
      <c r="AN20" s="63" t="e">
        <f>SUM(#REF!, 'Quarter 2'!AO20, 'Quarter 3'!AN20, 'Quarter 4'!AN20)</f>
        <v>#REF!</v>
      </c>
      <c r="AO20" s="30">
        <f t="shared" si="12"/>
        <v>0</v>
      </c>
    </row>
    <row r="21" spans="1:41" ht="15.75" customHeight="1" x14ac:dyDescent="0.2">
      <c r="A21" s="61"/>
      <c r="B21" s="62">
        <f>'Quarter 4'!B21</f>
        <v>0</v>
      </c>
      <c r="C21" s="63" t="e">
        <f>SUM(#REF!, 'Quarter 2'!C21, 'Quarter 3'!C21, 'Quarter 4'!C21)</f>
        <v>#REF!</v>
      </c>
      <c r="D21" s="22" t="e">
        <f>SUM(#REF!, 'Quarter 2'!D21, 'Quarter 3'!D21, 'Quarter 4'!D21)</f>
        <v>#REF!</v>
      </c>
      <c r="E21" s="23" t="e">
        <f t="shared" si="0"/>
        <v>#REF!</v>
      </c>
      <c r="F21" s="22" t="e">
        <f>SUM(#REF!, 'Quarter 2'!F21, 'Quarter 3'!F21, 'Quarter 4'!F21)</f>
        <v>#REF!</v>
      </c>
      <c r="G21" s="22" t="e">
        <f>SUM(#REF!, 'Quarter 2'!G21, 'Quarter 3'!G21, 'Quarter 4'!G21)</f>
        <v>#REF!</v>
      </c>
      <c r="H21" s="23" t="e">
        <f t="shared" si="1"/>
        <v>#REF!</v>
      </c>
      <c r="I21" s="22" t="e">
        <f>SUM(#REF!, 'Quarter 2'!I21, 'Quarter 3'!I21, 'Quarter 4'!I21)</f>
        <v>#REF!</v>
      </c>
      <c r="J21" s="22" t="e">
        <f>SUM(#REF!, 'Quarter 2'!J21, 'Quarter 3'!J21, 'Quarter 4'!J21)</f>
        <v>#REF!</v>
      </c>
      <c r="K21" s="22" t="e">
        <f>SUM(#REF!, 'Quarter 2'!K21, 'Quarter 3'!K21, 'Quarter 4'!K21)</f>
        <v>#REF!</v>
      </c>
      <c r="L21" s="23" t="e">
        <f t="shared" si="2"/>
        <v>#REF!</v>
      </c>
      <c r="M21" s="22" t="e">
        <f>SUM(#REF!, 'Quarter 2'!M21, 'Quarter 3'!M21, 'Quarter 4'!M21)</f>
        <v>#REF!</v>
      </c>
      <c r="N21" s="24" t="e">
        <f t="shared" si="3"/>
        <v>#REF!</v>
      </c>
      <c r="O21" s="22" t="e">
        <f>SUM(#REF!, 'Quarter 2'!O21, 'Quarter 3'!O21, 'Quarter 4'!O21)</f>
        <v>#REF!</v>
      </c>
      <c r="P21" s="22" t="e">
        <f>SUM(#REF!, 'Quarter 2'!P21, 'Quarter 3'!P21, 'Quarter 4'!P21)</f>
        <v>#REF!</v>
      </c>
      <c r="Q21" s="23" t="e">
        <f t="shared" si="4"/>
        <v>#REF!</v>
      </c>
      <c r="R21" s="22" t="e">
        <f>SUM(#REF!, 'Quarter 2'!R21, 'Quarter 3'!R21, 'Quarter 4'!R21)</f>
        <v>#REF!</v>
      </c>
      <c r="S21" s="24" t="e">
        <f t="shared" si="5"/>
        <v>#REF!</v>
      </c>
      <c r="T21" s="24" t="e">
        <f t="shared" si="13"/>
        <v>#REF!</v>
      </c>
      <c r="U21" s="64" t="e">
        <f t="shared" si="6"/>
        <v>#REF!</v>
      </c>
      <c r="V21" s="63" t="e">
        <f>SUM(#REF!, 'Quarter 2'!V21, 'Quarter 3'!V21, 'Quarter 4'!V21)</f>
        <v>#REF!</v>
      </c>
      <c r="W21" s="22" t="e">
        <f>SUM(#REF!, 'Quarter 2'!W21, 'Quarter 3'!W21, 'Quarter 4'!W21)</f>
        <v>#REF!</v>
      </c>
      <c r="X21" s="22" t="e">
        <f>SUM(#REF!, 'Quarter 2'!X21, 'Quarter 3'!X21, 'Quarter 4'!X21)</f>
        <v>#REF!</v>
      </c>
      <c r="Y21" s="22" t="e">
        <f>SUM(#REF!, 'Quarter 2'!Y21, 'Quarter 3'!Y21, 'Quarter 4'!Y21)</f>
        <v>#REF!</v>
      </c>
      <c r="Z21" s="24" t="e">
        <f t="shared" si="7"/>
        <v>#REF!</v>
      </c>
      <c r="AA21" s="22" t="e">
        <f>SUM(#REF!, 'Quarter 2'!AA21, 'Quarter 3'!AA21, 'Quarter 4'!AA21)</f>
        <v>#REF!</v>
      </c>
      <c r="AB21" s="28">
        <f t="shared" ref="AB21:AC21" si="22">IFERROR(V21/J21, 0)</f>
        <v>0</v>
      </c>
      <c r="AC21" s="28">
        <f t="shared" si="22"/>
        <v>0</v>
      </c>
      <c r="AD21" s="28">
        <f t="shared" ref="AD21:AE21" si="23">IFERROR(Z21/O21, 0)</f>
        <v>0</v>
      </c>
      <c r="AE21" s="28">
        <f t="shared" si="23"/>
        <v>0</v>
      </c>
      <c r="AF21" s="28">
        <f t="shared" si="10"/>
        <v>0</v>
      </c>
      <c r="AG21" s="63" t="e">
        <f>SUM(#REF!, 'Quarter 2'!AG21, 'Quarter 3'!AG21, 'Quarter 4'!AG21)</f>
        <v>#REF!</v>
      </c>
      <c r="AH21" s="22" t="e">
        <f>SUM(#REF!, 'Quarter 2'!AH21, 'Quarter 3'!AH21, 'Quarter 4'!AH21)</f>
        <v>#REF!</v>
      </c>
      <c r="AI21" s="22" t="e">
        <f>SUM(#REF!, 'Quarter 2'!AI21, 'Quarter 3'!AI21, 'Quarter 4'!AI21)</f>
        <v>#REF!</v>
      </c>
      <c r="AJ21" s="22" t="e">
        <f>SUM(#REF!, 'Quarter 2'!AJ21, 'Quarter 3'!AJ21, 'Quarter 4'!AJ21)</f>
        <v>#REF!</v>
      </c>
      <c r="AK21" s="22" t="e">
        <f>SUM(#REF!, 'Quarter 2'!AK21, 'Quarter 3'!AK21, 'Quarter 4'!AK21)</f>
        <v>#REF!</v>
      </c>
      <c r="AL21" s="22" t="e">
        <f>SUM(#REF!, 'Quarter 2'!AL21, 'Quarter 3'!AL21, 'Quarter 4'!AL21)</f>
        <v>#REF!</v>
      </c>
      <c r="AM21" s="64" t="e">
        <f t="shared" si="11"/>
        <v>#REF!</v>
      </c>
      <c r="AN21" s="63" t="e">
        <f>SUM(#REF!, 'Quarter 2'!AO21, 'Quarter 3'!AN21, 'Quarter 4'!AN21)</f>
        <v>#REF!</v>
      </c>
      <c r="AO21" s="30">
        <f t="shared" si="12"/>
        <v>0</v>
      </c>
    </row>
    <row r="22" spans="1:41" ht="15.75" customHeight="1" x14ac:dyDescent="0.2">
      <c r="A22" s="61"/>
      <c r="B22" s="62">
        <f>'Quarter 4'!B22</f>
        <v>0</v>
      </c>
      <c r="C22" s="63" t="e">
        <f>SUM(#REF!, 'Quarter 2'!C22, 'Quarter 3'!C22, 'Quarter 4'!C22)</f>
        <v>#REF!</v>
      </c>
      <c r="D22" s="22" t="e">
        <f>SUM(#REF!, 'Quarter 2'!D22, 'Quarter 3'!D22, 'Quarter 4'!D22)</f>
        <v>#REF!</v>
      </c>
      <c r="E22" s="23" t="e">
        <f t="shared" si="0"/>
        <v>#REF!</v>
      </c>
      <c r="F22" s="22" t="e">
        <f>SUM(#REF!, 'Quarter 2'!F22, 'Quarter 3'!F22, 'Quarter 4'!F22)</f>
        <v>#REF!</v>
      </c>
      <c r="G22" s="22" t="e">
        <f>SUM(#REF!, 'Quarter 2'!G22, 'Quarter 3'!G22, 'Quarter 4'!G22)</f>
        <v>#REF!</v>
      </c>
      <c r="H22" s="23" t="e">
        <f t="shared" si="1"/>
        <v>#REF!</v>
      </c>
      <c r="I22" s="22" t="e">
        <f>SUM(#REF!, 'Quarter 2'!I22, 'Quarter 3'!I22, 'Quarter 4'!I22)</f>
        <v>#REF!</v>
      </c>
      <c r="J22" s="22" t="e">
        <f>SUM(#REF!, 'Quarter 2'!J22, 'Quarter 3'!J22, 'Quarter 4'!J22)</f>
        <v>#REF!</v>
      </c>
      <c r="K22" s="22" t="e">
        <f>SUM(#REF!, 'Quarter 2'!K22, 'Quarter 3'!K22, 'Quarter 4'!K22)</f>
        <v>#REF!</v>
      </c>
      <c r="L22" s="23" t="e">
        <f t="shared" si="2"/>
        <v>#REF!</v>
      </c>
      <c r="M22" s="22" t="e">
        <f>SUM(#REF!, 'Quarter 2'!M22, 'Quarter 3'!M22, 'Quarter 4'!M22)</f>
        <v>#REF!</v>
      </c>
      <c r="N22" s="24" t="e">
        <f t="shared" si="3"/>
        <v>#REF!</v>
      </c>
      <c r="O22" s="22" t="e">
        <f>SUM(#REF!, 'Quarter 2'!O22, 'Quarter 3'!O22, 'Quarter 4'!O22)</f>
        <v>#REF!</v>
      </c>
      <c r="P22" s="22" t="e">
        <f>SUM(#REF!, 'Quarter 2'!P22, 'Quarter 3'!P22, 'Quarter 4'!P22)</f>
        <v>#REF!</v>
      </c>
      <c r="Q22" s="23" t="e">
        <f t="shared" si="4"/>
        <v>#REF!</v>
      </c>
      <c r="R22" s="22" t="e">
        <f>SUM(#REF!, 'Quarter 2'!R22, 'Quarter 3'!R22, 'Quarter 4'!R22)</f>
        <v>#REF!</v>
      </c>
      <c r="S22" s="24" t="e">
        <f t="shared" si="5"/>
        <v>#REF!</v>
      </c>
      <c r="T22" s="24" t="e">
        <f t="shared" si="13"/>
        <v>#REF!</v>
      </c>
      <c r="U22" s="64" t="e">
        <f t="shared" si="6"/>
        <v>#REF!</v>
      </c>
      <c r="V22" s="63" t="e">
        <f>SUM(#REF!, 'Quarter 2'!V22, 'Quarter 3'!V22, 'Quarter 4'!V22)</f>
        <v>#REF!</v>
      </c>
      <c r="W22" s="22" t="e">
        <f>SUM(#REF!, 'Quarter 2'!W22, 'Quarter 3'!W22, 'Quarter 4'!W22)</f>
        <v>#REF!</v>
      </c>
      <c r="X22" s="22" t="e">
        <f>SUM(#REF!, 'Quarter 2'!X22, 'Quarter 3'!X22, 'Quarter 4'!X22)</f>
        <v>#REF!</v>
      </c>
      <c r="Y22" s="22" t="e">
        <f>SUM(#REF!, 'Quarter 2'!Y22, 'Quarter 3'!Y22, 'Quarter 4'!Y22)</f>
        <v>#REF!</v>
      </c>
      <c r="Z22" s="24" t="e">
        <f t="shared" si="7"/>
        <v>#REF!</v>
      </c>
      <c r="AA22" s="22" t="e">
        <f>SUM(#REF!, 'Quarter 2'!AA22, 'Quarter 3'!AA22, 'Quarter 4'!AA22)</f>
        <v>#REF!</v>
      </c>
      <c r="AB22" s="28">
        <f t="shared" ref="AB22:AC22" si="24">IFERROR(V22/J22, 0)</f>
        <v>0</v>
      </c>
      <c r="AC22" s="28">
        <f t="shared" si="24"/>
        <v>0</v>
      </c>
      <c r="AD22" s="28">
        <f t="shared" ref="AD22:AE22" si="25">IFERROR(Z22/O22, 0)</f>
        <v>0</v>
      </c>
      <c r="AE22" s="28">
        <f t="shared" si="25"/>
        <v>0</v>
      </c>
      <c r="AF22" s="28">
        <f t="shared" si="10"/>
        <v>0</v>
      </c>
      <c r="AG22" s="63" t="e">
        <f>SUM(#REF!, 'Quarter 2'!AG22, 'Quarter 3'!AG22, 'Quarter 4'!AG22)</f>
        <v>#REF!</v>
      </c>
      <c r="AH22" s="22" t="e">
        <f>SUM(#REF!, 'Quarter 2'!AH22, 'Quarter 3'!AH22, 'Quarter 4'!AH22)</f>
        <v>#REF!</v>
      </c>
      <c r="AI22" s="22" t="e">
        <f>SUM(#REF!, 'Quarter 2'!AI22, 'Quarter 3'!AI22, 'Quarter 4'!AI22)</f>
        <v>#REF!</v>
      </c>
      <c r="AJ22" s="22" t="e">
        <f>SUM(#REF!, 'Quarter 2'!AJ22, 'Quarter 3'!AJ22, 'Quarter 4'!AJ22)</f>
        <v>#REF!</v>
      </c>
      <c r="AK22" s="22" t="e">
        <f>SUM(#REF!, 'Quarter 2'!AK22, 'Quarter 3'!AK22, 'Quarter 4'!AK22)</f>
        <v>#REF!</v>
      </c>
      <c r="AL22" s="22" t="e">
        <f>SUM(#REF!, 'Quarter 2'!AL22, 'Quarter 3'!AL22, 'Quarter 4'!AL22)</f>
        <v>#REF!</v>
      </c>
      <c r="AM22" s="64" t="e">
        <f t="shared" si="11"/>
        <v>#REF!</v>
      </c>
      <c r="AN22" s="63" t="e">
        <f>SUM(#REF!, 'Quarter 2'!AO22, 'Quarter 3'!AN22, 'Quarter 4'!AN22)</f>
        <v>#REF!</v>
      </c>
      <c r="AO22" s="30">
        <f t="shared" si="12"/>
        <v>0</v>
      </c>
    </row>
    <row r="23" spans="1:41" ht="15.75" customHeight="1" x14ac:dyDescent="0.2">
      <c r="A23" s="61"/>
      <c r="B23" s="62">
        <f>'Quarter 4'!B23</f>
        <v>0</v>
      </c>
      <c r="C23" s="63" t="e">
        <f>SUM(#REF!, 'Quarter 2'!C23, 'Quarter 3'!C23, 'Quarter 4'!C23)</f>
        <v>#REF!</v>
      </c>
      <c r="D23" s="22" t="e">
        <f>SUM(#REF!, 'Quarter 2'!D23, 'Quarter 3'!D23, 'Quarter 4'!D23)</f>
        <v>#REF!</v>
      </c>
      <c r="E23" s="23" t="e">
        <f t="shared" si="0"/>
        <v>#REF!</v>
      </c>
      <c r="F23" s="22" t="e">
        <f>SUM(#REF!, 'Quarter 2'!F23, 'Quarter 3'!F23, 'Quarter 4'!F23)</f>
        <v>#REF!</v>
      </c>
      <c r="G23" s="22" t="e">
        <f>SUM(#REF!, 'Quarter 2'!G23, 'Quarter 3'!G23, 'Quarter 4'!G23)</f>
        <v>#REF!</v>
      </c>
      <c r="H23" s="23" t="e">
        <f t="shared" si="1"/>
        <v>#REF!</v>
      </c>
      <c r="I23" s="22" t="e">
        <f>SUM(#REF!, 'Quarter 2'!I23, 'Quarter 3'!I23, 'Quarter 4'!I23)</f>
        <v>#REF!</v>
      </c>
      <c r="J23" s="22" t="e">
        <f>SUM(#REF!, 'Quarter 2'!J23, 'Quarter 3'!J23, 'Quarter 4'!J23)</f>
        <v>#REF!</v>
      </c>
      <c r="K23" s="22" t="e">
        <f>SUM(#REF!, 'Quarter 2'!K23, 'Quarter 3'!K23, 'Quarter 4'!K23)</f>
        <v>#REF!</v>
      </c>
      <c r="L23" s="23" t="e">
        <f t="shared" si="2"/>
        <v>#REF!</v>
      </c>
      <c r="M23" s="22" t="e">
        <f>SUM(#REF!, 'Quarter 2'!M23, 'Quarter 3'!M23, 'Quarter 4'!M23)</f>
        <v>#REF!</v>
      </c>
      <c r="N23" s="24" t="e">
        <f t="shared" si="3"/>
        <v>#REF!</v>
      </c>
      <c r="O23" s="22" t="e">
        <f>SUM(#REF!, 'Quarter 2'!O23, 'Quarter 3'!O23, 'Quarter 4'!O23)</f>
        <v>#REF!</v>
      </c>
      <c r="P23" s="22" t="e">
        <f>SUM(#REF!, 'Quarter 2'!P23, 'Quarter 3'!P23, 'Quarter 4'!P23)</f>
        <v>#REF!</v>
      </c>
      <c r="Q23" s="23" t="e">
        <f t="shared" si="4"/>
        <v>#REF!</v>
      </c>
      <c r="R23" s="22" t="e">
        <f>SUM(#REF!, 'Quarter 2'!R23, 'Quarter 3'!R23, 'Quarter 4'!R23)</f>
        <v>#REF!</v>
      </c>
      <c r="S23" s="24" t="e">
        <f t="shared" si="5"/>
        <v>#REF!</v>
      </c>
      <c r="T23" s="24" t="e">
        <f t="shared" si="13"/>
        <v>#REF!</v>
      </c>
      <c r="U23" s="64" t="e">
        <f t="shared" si="6"/>
        <v>#REF!</v>
      </c>
      <c r="V23" s="63" t="e">
        <f>SUM(#REF!, 'Quarter 2'!V23, 'Quarter 3'!V23, 'Quarter 4'!V23)</f>
        <v>#REF!</v>
      </c>
      <c r="W23" s="22" t="e">
        <f>SUM(#REF!, 'Quarter 2'!W23, 'Quarter 3'!W23, 'Quarter 4'!W23)</f>
        <v>#REF!</v>
      </c>
      <c r="X23" s="22" t="e">
        <f>SUM(#REF!, 'Quarter 2'!X23, 'Quarter 3'!X23, 'Quarter 4'!X23)</f>
        <v>#REF!</v>
      </c>
      <c r="Y23" s="22" t="e">
        <f>SUM(#REF!, 'Quarter 2'!Y23, 'Quarter 3'!Y23, 'Quarter 4'!Y23)</f>
        <v>#REF!</v>
      </c>
      <c r="Z23" s="24" t="e">
        <f t="shared" si="7"/>
        <v>#REF!</v>
      </c>
      <c r="AA23" s="22" t="e">
        <f>SUM(#REF!, 'Quarter 2'!AA23, 'Quarter 3'!AA23, 'Quarter 4'!AA23)</f>
        <v>#REF!</v>
      </c>
      <c r="AB23" s="28">
        <f t="shared" ref="AB23:AC23" si="26">IFERROR(V23/J23, 0)</f>
        <v>0</v>
      </c>
      <c r="AC23" s="28">
        <f t="shared" si="26"/>
        <v>0</v>
      </c>
      <c r="AD23" s="28">
        <f t="shared" ref="AD23:AE23" si="27">IFERROR(Z23/O23, 0)</f>
        <v>0</v>
      </c>
      <c r="AE23" s="28">
        <f t="shared" si="27"/>
        <v>0</v>
      </c>
      <c r="AF23" s="28">
        <f t="shared" si="10"/>
        <v>0</v>
      </c>
      <c r="AG23" s="63" t="e">
        <f>SUM(#REF!, 'Quarter 2'!AG23, 'Quarter 3'!AG23, 'Quarter 4'!AG23)</f>
        <v>#REF!</v>
      </c>
      <c r="AH23" s="22" t="e">
        <f>SUM(#REF!, 'Quarter 2'!AH23, 'Quarter 3'!AH23, 'Quarter 4'!AH23)</f>
        <v>#REF!</v>
      </c>
      <c r="AI23" s="22" t="e">
        <f>SUM(#REF!, 'Quarter 2'!AI23, 'Quarter 3'!AI23, 'Quarter 4'!AI23)</f>
        <v>#REF!</v>
      </c>
      <c r="AJ23" s="22" t="e">
        <f>SUM(#REF!, 'Quarter 2'!AJ23, 'Quarter 3'!AJ23, 'Quarter 4'!AJ23)</f>
        <v>#REF!</v>
      </c>
      <c r="AK23" s="22" t="e">
        <f>SUM(#REF!, 'Quarter 2'!AK23, 'Quarter 3'!AK23, 'Quarter 4'!AK23)</f>
        <v>#REF!</v>
      </c>
      <c r="AL23" s="22" t="e">
        <f>SUM(#REF!, 'Quarter 2'!AL23, 'Quarter 3'!AL23, 'Quarter 4'!AL23)</f>
        <v>#REF!</v>
      </c>
      <c r="AM23" s="64" t="e">
        <f t="shared" si="11"/>
        <v>#REF!</v>
      </c>
      <c r="AN23" s="63" t="e">
        <f>SUM(#REF!, 'Quarter 2'!AO23, 'Quarter 3'!AN23, 'Quarter 4'!AN23)</f>
        <v>#REF!</v>
      </c>
      <c r="AO23" s="30">
        <f t="shared" si="12"/>
        <v>0</v>
      </c>
    </row>
    <row r="24" spans="1:41" ht="15.75" customHeight="1" x14ac:dyDescent="0.2">
      <c r="A24" s="61"/>
      <c r="B24" s="62">
        <f>'Quarter 4'!B24</f>
        <v>0</v>
      </c>
      <c r="C24" s="63" t="e">
        <f>SUM(#REF!, 'Quarter 2'!C24, 'Quarter 3'!C24, 'Quarter 4'!C24)</f>
        <v>#REF!</v>
      </c>
      <c r="D24" s="22" t="e">
        <f>SUM(#REF!, 'Quarter 2'!D24, 'Quarter 3'!D24, 'Quarter 4'!D24)</f>
        <v>#REF!</v>
      </c>
      <c r="E24" s="23" t="e">
        <f t="shared" si="0"/>
        <v>#REF!</v>
      </c>
      <c r="F24" s="22" t="e">
        <f>SUM(#REF!, 'Quarter 2'!F24, 'Quarter 3'!F24, 'Quarter 4'!F24)</f>
        <v>#REF!</v>
      </c>
      <c r="G24" s="22" t="e">
        <f>SUM(#REF!, 'Quarter 2'!G24, 'Quarter 3'!G24, 'Quarter 4'!G24)</f>
        <v>#REF!</v>
      </c>
      <c r="H24" s="23" t="e">
        <f t="shared" si="1"/>
        <v>#REF!</v>
      </c>
      <c r="I24" s="22" t="e">
        <f>SUM(#REF!, 'Quarter 2'!I24, 'Quarter 3'!I24, 'Quarter 4'!I24)</f>
        <v>#REF!</v>
      </c>
      <c r="J24" s="22" t="e">
        <f>SUM(#REF!, 'Quarter 2'!J24, 'Quarter 3'!J24, 'Quarter 4'!J24)</f>
        <v>#REF!</v>
      </c>
      <c r="K24" s="22" t="e">
        <f>SUM(#REF!, 'Quarter 2'!K24, 'Quarter 3'!K24, 'Quarter 4'!K24)</f>
        <v>#REF!</v>
      </c>
      <c r="L24" s="23" t="e">
        <f t="shared" si="2"/>
        <v>#REF!</v>
      </c>
      <c r="M24" s="22" t="e">
        <f>SUM(#REF!, 'Quarter 2'!M24, 'Quarter 3'!M24, 'Quarter 4'!M24)</f>
        <v>#REF!</v>
      </c>
      <c r="N24" s="24" t="e">
        <f t="shared" si="3"/>
        <v>#REF!</v>
      </c>
      <c r="O24" s="22" t="e">
        <f>SUM(#REF!, 'Quarter 2'!O24, 'Quarter 3'!O24, 'Quarter 4'!O24)</f>
        <v>#REF!</v>
      </c>
      <c r="P24" s="22" t="e">
        <f>SUM(#REF!, 'Quarter 2'!P24, 'Quarter 3'!P24, 'Quarter 4'!P24)</f>
        <v>#REF!</v>
      </c>
      <c r="Q24" s="23" t="e">
        <f t="shared" si="4"/>
        <v>#REF!</v>
      </c>
      <c r="R24" s="22" t="e">
        <f>SUM(#REF!, 'Quarter 2'!R24, 'Quarter 3'!R24, 'Quarter 4'!R24)</f>
        <v>#REF!</v>
      </c>
      <c r="S24" s="24" t="e">
        <f t="shared" si="5"/>
        <v>#REF!</v>
      </c>
      <c r="T24" s="24" t="e">
        <f t="shared" si="13"/>
        <v>#REF!</v>
      </c>
      <c r="U24" s="64" t="e">
        <f t="shared" si="6"/>
        <v>#REF!</v>
      </c>
      <c r="V24" s="63" t="e">
        <f>SUM(#REF!, 'Quarter 2'!V24, 'Quarter 3'!V24, 'Quarter 4'!V24)</f>
        <v>#REF!</v>
      </c>
      <c r="W24" s="22" t="e">
        <f>SUM(#REF!, 'Quarter 2'!W24, 'Quarter 3'!W24, 'Quarter 4'!W24)</f>
        <v>#REF!</v>
      </c>
      <c r="X24" s="22" t="e">
        <f>SUM(#REF!, 'Quarter 2'!X24, 'Quarter 3'!X24, 'Quarter 4'!X24)</f>
        <v>#REF!</v>
      </c>
      <c r="Y24" s="22" t="e">
        <f>SUM(#REF!, 'Quarter 2'!Y24, 'Quarter 3'!Y24, 'Quarter 4'!Y24)</f>
        <v>#REF!</v>
      </c>
      <c r="Z24" s="24" t="e">
        <f t="shared" si="7"/>
        <v>#REF!</v>
      </c>
      <c r="AA24" s="22" t="e">
        <f>SUM(#REF!, 'Quarter 2'!AA24, 'Quarter 3'!AA24, 'Quarter 4'!AA24)</f>
        <v>#REF!</v>
      </c>
      <c r="AB24" s="28">
        <f t="shared" ref="AB24:AC24" si="28">IFERROR(V24/J24, 0)</f>
        <v>0</v>
      </c>
      <c r="AC24" s="28">
        <f t="shared" si="28"/>
        <v>0</v>
      </c>
      <c r="AD24" s="28">
        <f t="shared" ref="AD24:AE24" si="29">IFERROR(Z24/O24, 0)</f>
        <v>0</v>
      </c>
      <c r="AE24" s="28">
        <f t="shared" si="29"/>
        <v>0</v>
      </c>
      <c r="AF24" s="28">
        <f t="shared" si="10"/>
        <v>0</v>
      </c>
      <c r="AG24" s="63" t="e">
        <f>SUM(#REF!, 'Quarter 2'!AG24, 'Quarter 3'!AG24, 'Quarter 4'!AG24)</f>
        <v>#REF!</v>
      </c>
      <c r="AH24" s="22" t="e">
        <f>SUM(#REF!, 'Quarter 2'!AH24, 'Quarter 3'!AH24, 'Quarter 4'!AH24)</f>
        <v>#REF!</v>
      </c>
      <c r="AI24" s="22" t="e">
        <f>SUM(#REF!, 'Quarter 2'!AI24, 'Quarter 3'!AI24, 'Quarter 4'!AI24)</f>
        <v>#REF!</v>
      </c>
      <c r="AJ24" s="22" t="e">
        <f>SUM(#REF!, 'Quarter 2'!AJ24, 'Quarter 3'!AJ24, 'Quarter 4'!AJ24)</f>
        <v>#REF!</v>
      </c>
      <c r="AK24" s="22" t="e">
        <f>SUM(#REF!, 'Quarter 2'!AK24, 'Quarter 3'!AK24, 'Quarter 4'!AK24)</f>
        <v>#REF!</v>
      </c>
      <c r="AL24" s="22" t="e">
        <f>SUM(#REF!, 'Quarter 2'!AL24, 'Quarter 3'!AL24, 'Quarter 4'!AL24)</f>
        <v>#REF!</v>
      </c>
      <c r="AM24" s="64" t="e">
        <f t="shared" si="11"/>
        <v>#REF!</v>
      </c>
      <c r="AN24" s="63" t="e">
        <f>SUM(#REF!, 'Quarter 2'!AO24, 'Quarter 3'!AN24, 'Quarter 4'!AN24)</f>
        <v>#REF!</v>
      </c>
      <c r="AO24" s="30">
        <f t="shared" si="12"/>
        <v>0</v>
      </c>
    </row>
    <row r="25" spans="1:41" ht="15.75" customHeight="1" x14ac:dyDescent="0.2">
      <c r="A25" s="61"/>
      <c r="B25" s="62">
        <f>'Quarter 4'!B25</f>
        <v>0</v>
      </c>
      <c r="C25" s="63" t="e">
        <f>SUM(#REF!, 'Quarter 2'!C25, 'Quarter 3'!C25, 'Quarter 4'!C25)</f>
        <v>#REF!</v>
      </c>
      <c r="D25" s="22" t="e">
        <f>SUM(#REF!, 'Quarter 2'!D25, 'Quarter 3'!D25, 'Quarter 4'!D25)</f>
        <v>#REF!</v>
      </c>
      <c r="E25" s="23" t="e">
        <f t="shared" si="0"/>
        <v>#REF!</v>
      </c>
      <c r="F25" s="22" t="e">
        <f>SUM(#REF!, 'Quarter 2'!F25, 'Quarter 3'!F25, 'Quarter 4'!F25)</f>
        <v>#REF!</v>
      </c>
      <c r="G25" s="22" t="e">
        <f>SUM(#REF!, 'Quarter 2'!G25, 'Quarter 3'!G25, 'Quarter 4'!G25)</f>
        <v>#REF!</v>
      </c>
      <c r="H25" s="23" t="e">
        <f t="shared" si="1"/>
        <v>#REF!</v>
      </c>
      <c r="I25" s="22" t="e">
        <f>SUM(#REF!, 'Quarter 2'!I25, 'Quarter 3'!I25, 'Quarter 4'!I25)</f>
        <v>#REF!</v>
      </c>
      <c r="J25" s="22" t="e">
        <f>SUM(#REF!, 'Quarter 2'!J25, 'Quarter 3'!J25, 'Quarter 4'!J25)</f>
        <v>#REF!</v>
      </c>
      <c r="K25" s="22" t="e">
        <f>SUM(#REF!, 'Quarter 2'!K25, 'Quarter 3'!K25, 'Quarter 4'!K25)</f>
        <v>#REF!</v>
      </c>
      <c r="L25" s="23" t="e">
        <f t="shared" si="2"/>
        <v>#REF!</v>
      </c>
      <c r="M25" s="22" t="e">
        <f>SUM(#REF!, 'Quarter 2'!M25, 'Quarter 3'!M25, 'Quarter 4'!M25)</f>
        <v>#REF!</v>
      </c>
      <c r="N25" s="24" t="e">
        <f t="shared" si="3"/>
        <v>#REF!</v>
      </c>
      <c r="O25" s="22" t="e">
        <f>SUM(#REF!, 'Quarter 2'!O25, 'Quarter 3'!O25, 'Quarter 4'!O25)</f>
        <v>#REF!</v>
      </c>
      <c r="P25" s="22" t="e">
        <f>SUM(#REF!, 'Quarter 2'!P25, 'Quarter 3'!P25, 'Quarter 4'!P25)</f>
        <v>#REF!</v>
      </c>
      <c r="Q25" s="23" t="e">
        <f t="shared" si="4"/>
        <v>#REF!</v>
      </c>
      <c r="R25" s="22" t="e">
        <f>SUM(#REF!, 'Quarter 2'!R25, 'Quarter 3'!R25, 'Quarter 4'!R25)</f>
        <v>#REF!</v>
      </c>
      <c r="S25" s="24" t="e">
        <f t="shared" si="5"/>
        <v>#REF!</v>
      </c>
      <c r="T25" s="24" t="e">
        <f t="shared" si="13"/>
        <v>#REF!</v>
      </c>
      <c r="U25" s="64" t="e">
        <f t="shared" si="6"/>
        <v>#REF!</v>
      </c>
      <c r="V25" s="63" t="e">
        <f>SUM(#REF!, 'Quarter 2'!V25, 'Quarter 3'!V25, 'Quarter 4'!V25)</f>
        <v>#REF!</v>
      </c>
      <c r="W25" s="22" t="e">
        <f>SUM(#REF!, 'Quarter 2'!W25, 'Quarter 3'!W25, 'Quarter 4'!W25)</f>
        <v>#REF!</v>
      </c>
      <c r="X25" s="22" t="e">
        <f>SUM(#REF!, 'Quarter 2'!X25, 'Quarter 3'!X25, 'Quarter 4'!X25)</f>
        <v>#REF!</v>
      </c>
      <c r="Y25" s="22" t="e">
        <f>SUM(#REF!, 'Quarter 2'!Y25, 'Quarter 3'!Y25, 'Quarter 4'!Y25)</f>
        <v>#REF!</v>
      </c>
      <c r="Z25" s="24" t="e">
        <f t="shared" si="7"/>
        <v>#REF!</v>
      </c>
      <c r="AA25" s="22" t="e">
        <f>SUM(#REF!, 'Quarter 2'!AA25, 'Quarter 3'!AA25, 'Quarter 4'!AA25)</f>
        <v>#REF!</v>
      </c>
      <c r="AB25" s="28">
        <f t="shared" ref="AB25:AC25" si="30">IFERROR(V25/J25, 0)</f>
        <v>0</v>
      </c>
      <c r="AC25" s="28">
        <f t="shared" si="30"/>
        <v>0</v>
      </c>
      <c r="AD25" s="28">
        <f t="shared" ref="AD25:AE25" si="31">IFERROR(Z25/O25, 0)</f>
        <v>0</v>
      </c>
      <c r="AE25" s="28">
        <f t="shared" si="31"/>
        <v>0</v>
      </c>
      <c r="AF25" s="28">
        <f t="shared" si="10"/>
        <v>0</v>
      </c>
      <c r="AG25" s="63" t="e">
        <f>SUM(#REF!, 'Quarter 2'!AG25, 'Quarter 3'!AG25, 'Quarter 4'!AG25)</f>
        <v>#REF!</v>
      </c>
      <c r="AH25" s="22" t="e">
        <f>SUM(#REF!, 'Quarter 2'!AH25, 'Quarter 3'!AH25, 'Quarter 4'!AH25)</f>
        <v>#REF!</v>
      </c>
      <c r="AI25" s="22" t="e">
        <f>SUM(#REF!, 'Quarter 2'!AI25, 'Quarter 3'!AI25, 'Quarter 4'!AI25)</f>
        <v>#REF!</v>
      </c>
      <c r="AJ25" s="22" t="e">
        <f>SUM(#REF!, 'Quarter 2'!AJ25, 'Quarter 3'!AJ25, 'Quarter 4'!AJ25)</f>
        <v>#REF!</v>
      </c>
      <c r="AK25" s="22" t="e">
        <f>SUM(#REF!, 'Quarter 2'!AK25, 'Quarter 3'!AK25, 'Quarter 4'!AK25)</f>
        <v>#REF!</v>
      </c>
      <c r="AL25" s="22" t="e">
        <f>SUM(#REF!, 'Quarter 2'!AL25, 'Quarter 3'!AL25, 'Quarter 4'!AL25)</f>
        <v>#REF!</v>
      </c>
      <c r="AM25" s="64" t="e">
        <f t="shared" si="11"/>
        <v>#REF!</v>
      </c>
      <c r="AN25" s="63" t="e">
        <f>SUM(#REF!, 'Quarter 2'!AO25, 'Quarter 3'!AN25, 'Quarter 4'!AN25)</f>
        <v>#REF!</v>
      </c>
      <c r="AO25" s="30">
        <f t="shared" si="12"/>
        <v>0</v>
      </c>
    </row>
    <row r="26" spans="1:41" ht="15.75" customHeight="1" x14ac:dyDescent="0.2">
      <c r="A26" s="61"/>
      <c r="B26" s="62">
        <f>'Quarter 4'!B26</f>
        <v>0</v>
      </c>
      <c r="C26" s="63" t="e">
        <f>SUM(#REF!, 'Quarter 2'!C26, 'Quarter 3'!C26, 'Quarter 4'!C26)</f>
        <v>#REF!</v>
      </c>
      <c r="D26" s="22" t="e">
        <f>SUM(#REF!, 'Quarter 2'!D26, 'Quarter 3'!D26, 'Quarter 4'!D26)</f>
        <v>#REF!</v>
      </c>
      <c r="E26" s="23" t="e">
        <f t="shared" si="0"/>
        <v>#REF!</v>
      </c>
      <c r="F26" s="22" t="e">
        <f>SUM(#REF!, 'Quarter 2'!F26, 'Quarter 3'!F26, 'Quarter 4'!F26)</f>
        <v>#REF!</v>
      </c>
      <c r="G26" s="22" t="e">
        <f>SUM(#REF!, 'Quarter 2'!G26, 'Quarter 3'!G26, 'Quarter 4'!G26)</f>
        <v>#REF!</v>
      </c>
      <c r="H26" s="23" t="e">
        <f t="shared" si="1"/>
        <v>#REF!</v>
      </c>
      <c r="I26" s="22" t="e">
        <f>SUM(#REF!, 'Quarter 2'!I26, 'Quarter 3'!I26, 'Quarter 4'!I26)</f>
        <v>#REF!</v>
      </c>
      <c r="J26" s="22" t="e">
        <f>SUM(#REF!, 'Quarter 2'!J26, 'Quarter 3'!J26, 'Quarter 4'!J26)</f>
        <v>#REF!</v>
      </c>
      <c r="K26" s="22" t="e">
        <f>SUM(#REF!, 'Quarter 2'!K26, 'Quarter 3'!K26, 'Quarter 4'!K26)</f>
        <v>#REF!</v>
      </c>
      <c r="L26" s="23" t="e">
        <f t="shared" si="2"/>
        <v>#REF!</v>
      </c>
      <c r="M26" s="22" t="e">
        <f>SUM(#REF!, 'Quarter 2'!M26, 'Quarter 3'!M26, 'Quarter 4'!M26)</f>
        <v>#REF!</v>
      </c>
      <c r="N26" s="24" t="e">
        <f t="shared" si="3"/>
        <v>#REF!</v>
      </c>
      <c r="O26" s="22" t="e">
        <f>SUM(#REF!, 'Quarter 2'!O26, 'Quarter 3'!O26, 'Quarter 4'!O26)</f>
        <v>#REF!</v>
      </c>
      <c r="P26" s="22" t="e">
        <f>SUM(#REF!, 'Quarter 2'!P26, 'Quarter 3'!P26, 'Quarter 4'!P26)</f>
        <v>#REF!</v>
      </c>
      <c r="Q26" s="23" t="e">
        <f t="shared" si="4"/>
        <v>#REF!</v>
      </c>
      <c r="R26" s="22" t="e">
        <f>SUM(#REF!, 'Quarter 2'!R26, 'Quarter 3'!R26, 'Quarter 4'!R26)</f>
        <v>#REF!</v>
      </c>
      <c r="S26" s="24" t="e">
        <f t="shared" si="5"/>
        <v>#REF!</v>
      </c>
      <c r="T26" s="24" t="e">
        <f t="shared" si="13"/>
        <v>#REF!</v>
      </c>
      <c r="U26" s="64" t="e">
        <f t="shared" si="6"/>
        <v>#REF!</v>
      </c>
      <c r="V26" s="63" t="e">
        <f>SUM(#REF!, 'Quarter 2'!V26, 'Quarter 3'!V26, 'Quarter 4'!V26)</f>
        <v>#REF!</v>
      </c>
      <c r="W26" s="22" t="e">
        <f>SUM(#REF!, 'Quarter 2'!W26, 'Quarter 3'!W26, 'Quarter 4'!W26)</f>
        <v>#REF!</v>
      </c>
      <c r="X26" s="22" t="e">
        <f>SUM(#REF!, 'Quarter 2'!X26, 'Quarter 3'!X26, 'Quarter 4'!X26)</f>
        <v>#REF!</v>
      </c>
      <c r="Y26" s="22" t="e">
        <f>SUM(#REF!, 'Quarter 2'!Y26, 'Quarter 3'!Y26, 'Quarter 4'!Y26)</f>
        <v>#REF!</v>
      </c>
      <c r="Z26" s="24" t="e">
        <f t="shared" si="7"/>
        <v>#REF!</v>
      </c>
      <c r="AA26" s="22" t="e">
        <f>SUM(#REF!, 'Quarter 2'!AA26, 'Quarter 3'!AA26, 'Quarter 4'!AA26)</f>
        <v>#REF!</v>
      </c>
      <c r="AB26" s="28">
        <f t="shared" ref="AB26:AC26" si="32">IFERROR(V26/J26, 0)</f>
        <v>0</v>
      </c>
      <c r="AC26" s="28">
        <f t="shared" si="32"/>
        <v>0</v>
      </c>
      <c r="AD26" s="28">
        <f t="shared" ref="AD26:AE26" si="33">IFERROR(Z26/O26, 0)</f>
        <v>0</v>
      </c>
      <c r="AE26" s="28">
        <f t="shared" si="33"/>
        <v>0</v>
      </c>
      <c r="AF26" s="28">
        <f t="shared" si="10"/>
        <v>0</v>
      </c>
      <c r="AG26" s="63" t="e">
        <f>SUM(#REF!, 'Quarter 2'!AG26, 'Quarter 3'!AG26, 'Quarter 4'!AG26)</f>
        <v>#REF!</v>
      </c>
      <c r="AH26" s="22" t="e">
        <f>SUM(#REF!, 'Quarter 2'!AH26, 'Quarter 3'!AH26, 'Quarter 4'!AH26)</f>
        <v>#REF!</v>
      </c>
      <c r="AI26" s="22" t="e">
        <f>SUM(#REF!, 'Quarter 2'!AI26, 'Quarter 3'!AI26, 'Quarter 4'!AI26)</f>
        <v>#REF!</v>
      </c>
      <c r="AJ26" s="22" t="e">
        <f>SUM(#REF!, 'Quarter 2'!AJ26, 'Quarter 3'!AJ26, 'Quarter 4'!AJ26)</f>
        <v>#REF!</v>
      </c>
      <c r="AK26" s="22" t="e">
        <f>SUM(#REF!, 'Quarter 2'!AK26, 'Quarter 3'!AK26, 'Quarter 4'!AK26)</f>
        <v>#REF!</v>
      </c>
      <c r="AL26" s="22" t="e">
        <f>SUM(#REF!, 'Quarter 2'!AL26, 'Quarter 3'!AL26, 'Quarter 4'!AL26)</f>
        <v>#REF!</v>
      </c>
      <c r="AM26" s="64" t="e">
        <f t="shared" si="11"/>
        <v>#REF!</v>
      </c>
      <c r="AN26" s="63" t="e">
        <f>SUM(#REF!, 'Quarter 2'!AO26, 'Quarter 3'!AN26, 'Quarter 4'!AN26)</f>
        <v>#REF!</v>
      </c>
      <c r="AO26" s="30">
        <f t="shared" si="12"/>
        <v>0</v>
      </c>
    </row>
    <row r="27" spans="1:41" ht="15.75" customHeight="1" x14ac:dyDescent="0.2">
      <c r="A27" s="61"/>
      <c r="B27" s="62">
        <f>'Quarter 4'!B27</f>
        <v>0</v>
      </c>
      <c r="C27" s="63" t="e">
        <f>SUM(#REF!, 'Quarter 2'!C27, 'Quarter 3'!C27, 'Quarter 4'!C27)</f>
        <v>#REF!</v>
      </c>
      <c r="D27" s="22" t="e">
        <f>SUM(#REF!, 'Quarter 2'!D27, 'Quarter 3'!D27, 'Quarter 4'!D27)</f>
        <v>#REF!</v>
      </c>
      <c r="E27" s="23" t="e">
        <f t="shared" si="0"/>
        <v>#REF!</v>
      </c>
      <c r="F27" s="22" t="e">
        <f>SUM(#REF!, 'Quarter 2'!F27, 'Quarter 3'!F27, 'Quarter 4'!F27)</f>
        <v>#REF!</v>
      </c>
      <c r="G27" s="22" t="e">
        <f>SUM(#REF!, 'Quarter 2'!G27, 'Quarter 3'!G27, 'Quarter 4'!G27)</f>
        <v>#REF!</v>
      </c>
      <c r="H27" s="23" t="e">
        <f t="shared" si="1"/>
        <v>#REF!</v>
      </c>
      <c r="I27" s="22" t="e">
        <f>SUM(#REF!, 'Quarter 2'!I27, 'Quarter 3'!I27, 'Quarter 4'!I27)</f>
        <v>#REF!</v>
      </c>
      <c r="J27" s="22" t="e">
        <f>SUM(#REF!, 'Quarter 2'!J27, 'Quarter 3'!J27, 'Quarter 4'!J27)</f>
        <v>#REF!</v>
      </c>
      <c r="K27" s="22" t="e">
        <f>SUM(#REF!, 'Quarter 2'!K27, 'Quarter 3'!K27, 'Quarter 4'!K27)</f>
        <v>#REF!</v>
      </c>
      <c r="L27" s="23" t="e">
        <f t="shared" si="2"/>
        <v>#REF!</v>
      </c>
      <c r="M27" s="22" t="e">
        <f>SUM(#REF!, 'Quarter 2'!M27, 'Quarter 3'!M27, 'Quarter 4'!M27)</f>
        <v>#REF!</v>
      </c>
      <c r="N27" s="24" t="e">
        <f t="shared" si="3"/>
        <v>#REF!</v>
      </c>
      <c r="O27" s="22" t="e">
        <f>SUM(#REF!, 'Quarter 2'!O27, 'Quarter 3'!O27, 'Quarter 4'!O27)</f>
        <v>#REF!</v>
      </c>
      <c r="P27" s="22" t="e">
        <f>SUM(#REF!, 'Quarter 2'!P27, 'Quarter 3'!P27, 'Quarter 4'!P27)</f>
        <v>#REF!</v>
      </c>
      <c r="Q27" s="23" t="e">
        <f t="shared" si="4"/>
        <v>#REF!</v>
      </c>
      <c r="R27" s="22" t="e">
        <f>SUM(#REF!, 'Quarter 2'!R27, 'Quarter 3'!R27, 'Quarter 4'!R27)</f>
        <v>#REF!</v>
      </c>
      <c r="S27" s="24" t="e">
        <f t="shared" si="5"/>
        <v>#REF!</v>
      </c>
      <c r="T27" s="24" t="e">
        <f t="shared" si="13"/>
        <v>#REF!</v>
      </c>
      <c r="U27" s="64" t="e">
        <f t="shared" si="6"/>
        <v>#REF!</v>
      </c>
      <c r="V27" s="63" t="e">
        <f>SUM(#REF!, 'Quarter 2'!V27, 'Quarter 3'!V27, 'Quarter 4'!V27)</f>
        <v>#REF!</v>
      </c>
      <c r="W27" s="22" t="e">
        <f>SUM(#REF!, 'Quarter 2'!W27, 'Quarter 3'!W27, 'Quarter 4'!W27)</f>
        <v>#REF!</v>
      </c>
      <c r="X27" s="22" t="e">
        <f>SUM(#REF!, 'Quarter 2'!X27, 'Quarter 3'!X27, 'Quarter 4'!X27)</f>
        <v>#REF!</v>
      </c>
      <c r="Y27" s="22" t="e">
        <f>SUM(#REF!, 'Quarter 2'!Y27, 'Quarter 3'!Y27, 'Quarter 4'!Y27)</f>
        <v>#REF!</v>
      </c>
      <c r="Z27" s="24" t="e">
        <f t="shared" si="7"/>
        <v>#REF!</v>
      </c>
      <c r="AA27" s="22" t="e">
        <f>SUM(#REF!, 'Quarter 2'!AA27, 'Quarter 3'!AA27, 'Quarter 4'!AA27)</f>
        <v>#REF!</v>
      </c>
      <c r="AB27" s="28">
        <f t="shared" ref="AB27:AC27" si="34">IFERROR(V27/J27, 0)</f>
        <v>0</v>
      </c>
      <c r="AC27" s="28">
        <f t="shared" si="34"/>
        <v>0</v>
      </c>
      <c r="AD27" s="28">
        <f t="shared" ref="AD27:AE27" si="35">IFERROR(Z27/O27, 0)</f>
        <v>0</v>
      </c>
      <c r="AE27" s="28">
        <f t="shared" si="35"/>
        <v>0</v>
      </c>
      <c r="AF27" s="28">
        <f t="shared" si="10"/>
        <v>0</v>
      </c>
      <c r="AG27" s="63" t="e">
        <f>SUM(#REF!, 'Quarter 2'!AG27, 'Quarter 3'!AG27, 'Quarter 4'!AG27)</f>
        <v>#REF!</v>
      </c>
      <c r="AH27" s="22" t="e">
        <f>SUM(#REF!, 'Quarter 2'!AH27, 'Quarter 3'!AH27, 'Quarter 4'!AH27)</f>
        <v>#REF!</v>
      </c>
      <c r="AI27" s="22" t="e">
        <f>SUM(#REF!, 'Quarter 2'!AI27, 'Quarter 3'!AI27, 'Quarter 4'!AI27)</f>
        <v>#REF!</v>
      </c>
      <c r="AJ27" s="22" t="e">
        <f>SUM(#REF!, 'Quarter 2'!AJ27, 'Quarter 3'!AJ27, 'Quarter 4'!AJ27)</f>
        <v>#REF!</v>
      </c>
      <c r="AK27" s="22" t="e">
        <f>SUM(#REF!, 'Quarter 2'!AK27, 'Quarter 3'!AK27, 'Quarter 4'!AK27)</f>
        <v>#REF!</v>
      </c>
      <c r="AL27" s="22" t="e">
        <f>SUM(#REF!, 'Quarter 2'!AL27, 'Quarter 3'!AL27, 'Quarter 4'!AL27)</f>
        <v>#REF!</v>
      </c>
      <c r="AM27" s="64" t="e">
        <f t="shared" si="11"/>
        <v>#REF!</v>
      </c>
      <c r="AN27" s="63" t="e">
        <f>SUM(#REF!, 'Quarter 2'!AO27, 'Quarter 3'!AN27, 'Quarter 4'!AN27)</f>
        <v>#REF!</v>
      </c>
      <c r="AO27" s="30">
        <f t="shared" si="12"/>
        <v>0</v>
      </c>
    </row>
    <row r="28" spans="1:41" ht="15.75" customHeight="1" x14ac:dyDescent="0.2">
      <c r="A28" s="61"/>
      <c r="B28" s="62">
        <f>'Quarter 4'!B28</f>
        <v>0</v>
      </c>
      <c r="C28" s="63" t="e">
        <f>SUM(#REF!, 'Quarter 2'!C28, 'Quarter 3'!C28, 'Quarter 4'!C28)</f>
        <v>#REF!</v>
      </c>
      <c r="D28" s="22" t="e">
        <f>SUM(#REF!, 'Quarter 2'!D28, 'Quarter 3'!D28, 'Quarter 4'!D28)</f>
        <v>#REF!</v>
      </c>
      <c r="E28" s="23" t="e">
        <f t="shared" si="0"/>
        <v>#REF!</v>
      </c>
      <c r="F28" s="22" t="e">
        <f>SUM(#REF!, 'Quarter 2'!F28, 'Quarter 3'!F28, 'Quarter 4'!F28)</f>
        <v>#REF!</v>
      </c>
      <c r="G28" s="22" t="e">
        <f>SUM(#REF!, 'Quarter 2'!G28, 'Quarter 3'!G28, 'Quarter 4'!G28)</f>
        <v>#REF!</v>
      </c>
      <c r="H28" s="23" t="e">
        <f t="shared" si="1"/>
        <v>#REF!</v>
      </c>
      <c r="I28" s="22" t="e">
        <f>SUM(#REF!, 'Quarter 2'!I28, 'Quarter 3'!I28, 'Quarter 4'!I28)</f>
        <v>#REF!</v>
      </c>
      <c r="J28" s="22" t="e">
        <f>SUM(#REF!, 'Quarter 2'!J28, 'Quarter 3'!J28, 'Quarter 4'!J28)</f>
        <v>#REF!</v>
      </c>
      <c r="K28" s="22" t="e">
        <f>SUM(#REF!, 'Quarter 2'!K28, 'Quarter 3'!K28, 'Quarter 4'!K28)</f>
        <v>#REF!</v>
      </c>
      <c r="L28" s="23" t="e">
        <f t="shared" si="2"/>
        <v>#REF!</v>
      </c>
      <c r="M28" s="22" t="e">
        <f>SUM(#REF!, 'Quarter 2'!M28, 'Quarter 3'!M28, 'Quarter 4'!M28)</f>
        <v>#REF!</v>
      </c>
      <c r="N28" s="24" t="e">
        <f t="shared" si="3"/>
        <v>#REF!</v>
      </c>
      <c r="O28" s="22" t="e">
        <f>SUM(#REF!, 'Quarter 2'!O28, 'Quarter 3'!O28, 'Quarter 4'!O28)</f>
        <v>#REF!</v>
      </c>
      <c r="P28" s="22" t="e">
        <f>SUM(#REF!, 'Quarter 2'!P28, 'Quarter 3'!P28, 'Quarter 4'!P28)</f>
        <v>#REF!</v>
      </c>
      <c r="Q28" s="23" t="e">
        <f t="shared" si="4"/>
        <v>#REF!</v>
      </c>
      <c r="R28" s="22" t="e">
        <f>SUM(#REF!, 'Quarter 2'!R28, 'Quarter 3'!R28, 'Quarter 4'!R28)</f>
        <v>#REF!</v>
      </c>
      <c r="S28" s="24" t="e">
        <f t="shared" si="5"/>
        <v>#REF!</v>
      </c>
      <c r="T28" s="24" t="e">
        <f t="shared" si="13"/>
        <v>#REF!</v>
      </c>
      <c r="U28" s="64" t="e">
        <f t="shared" si="6"/>
        <v>#REF!</v>
      </c>
      <c r="V28" s="63" t="e">
        <f>SUM(#REF!, 'Quarter 2'!V28, 'Quarter 3'!V28, 'Quarter 4'!V28)</f>
        <v>#REF!</v>
      </c>
      <c r="W28" s="22" t="e">
        <f>SUM(#REF!, 'Quarter 2'!W28, 'Quarter 3'!W28, 'Quarter 4'!W28)</f>
        <v>#REF!</v>
      </c>
      <c r="X28" s="22" t="e">
        <f>SUM(#REF!, 'Quarter 2'!X28, 'Quarter 3'!X28, 'Quarter 4'!X28)</f>
        <v>#REF!</v>
      </c>
      <c r="Y28" s="22" t="e">
        <f>SUM(#REF!, 'Quarter 2'!Y28, 'Quarter 3'!Y28, 'Quarter 4'!Y28)</f>
        <v>#REF!</v>
      </c>
      <c r="Z28" s="24" t="e">
        <f t="shared" si="7"/>
        <v>#REF!</v>
      </c>
      <c r="AA28" s="22" t="e">
        <f>SUM(#REF!, 'Quarter 2'!AA28, 'Quarter 3'!AA28, 'Quarter 4'!AA28)</f>
        <v>#REF!</v>
      </c>
      <c r="AB28" s="28">
        <f t="shared" ref="AB28:AC28" si="36">IFERROR(V28/J28, 0)</f>
        <v>0</v>
      </c>
      <c r="AC28" s="28">
        <f t="shared" si="36"/>
        <v>0</v>
      </c>
      <c r="AD28" s="28">
        <f t="shared" ref="AD28:AE28" si="37">IFERROR(Z28/O28, 0)</f>
        <v>0</v>
      </c>
      <c r="AE28" s="28">
        <f t="shared" si="37"/>
        <v>0</v>
      </c>
      <c r="AF28" s="28">
        <f t="shared" si="10"/>
        <v>0</v>
      </c>
      <c r="AG28" s="63" t="e">
        <f>SUM(#REF!, 'Quarter 2'!AG28, 'Quarter 3'!AG28, 'Quarter 4'!AG28)</f>
        <v>#REF!</v>
      </c>
      <c r="AH28" s="22" t="e">
        <f>SUM(#REF!, 'Quarter 2'!AH28, 'Quarter 3'!AH28, 'Quarter 4'!AH28)</f>
        <v>#REF!</v>
      </c>
      <c r="AI28" s="22" t="e">
        <f>SUM(#REF!, 'Quarter 2'!AI28, 'Quarter 3'!AI28, 'Quarter 4'!AI28)</f>
        <v>#REF!</v>
      </c>
      <c r="AJ28" s="22" t="e">
        <f>SUM(#REF!, 'Quarter 2'!AJ28, 'Quarter 3'!AJ28, 'Quarter 4'!AJ28)</f>
        <v>#REF!</v>
      </c>
      <c r="AK28" s="22" t="e">
        <f>SUM(#REF!, 'Quarter 2'!AK28, 'Quarter 3'!AK28, 'Quarter 4'!AK28)</f>
        <v>#REF!</v>
      </c>
      <c r="AL28" s="22" t="e">
        <f>SUM(#REF!, 'Quarter 2'!AL28, 'Quarter 3'!AL28, 'Quarter 4'!AL28)</f>
        <v>#REF!</v>
      </c>
      <c r="AM28" s="64" t="e">
        <f t="shared" si="11"/>
        <v>#REF!</v>
      </c>
      <c r="AN28" s="63" t="e">
        <f>SUM(#REF!, 'Quarter 2'!AO28, 'Quarter 3'!AN28, 'Quarter 4'!AN28)</f>
        <v>#REF!</v>
      </c>
      <c r="AO28" s="30">
        <f t="shared" si="12"/>
        <v>0</v>
      </c>
    </row>
    <row r="29" spans="1:41" ht="15.75" customHeight="1" x14ac:dyDescent="0.2">
      <c r="A29" s="61"/>
      <c r="B29" s="62">
        <f>'Quarter 4'!B29</f>
        <v>0</v>
      </c>
      <c r="C29" s="63" t="e">
        <f>SUM(#REF!, 'Quarter 2'!C29, 'Quarter 3'!C29, 'Quarter 4'!C29)</f>
        <v>#REF!</v>
      </c>
      <c r="D29" s="22" t="e">
        <f>SUM(#REF!, 'Quarter 2'!D29, 'Quarter 3'!D29, 'Quarter 4'!D29)</f>
        <v>#REF!</v>
      </c>
      <c r="E29" s="23" t="e">
        <f t="shared" si="0"/>
        <v>#REF!</v>
      </c>
      <c r="F29" s="22" t="e">
        <f>SUM(#REF!, 'Quarter 2'!F29, 'Quarter 3'!F29, 'Quarter 4'!F29)</f>
        <v>#REF!</v>
      </c>
      <c r="G29" s="22" t="e">
        <f>SUM(#REF!, 'Quarter 2'!G29, 'Quarter 3'!G29, 'Quarter 4'!G29)</f>
        <v>#REF!</v>
      </c>
      <c r="H29" s="23" t="e">
        <f t="shared" si="1"/>
        <v>#REF!</v>
      </c>
      <c r="I29" s="22" t="e">
        <f>SUM(#REF!, 'Quarter 2'!I29, 'Quarter 3'!I29, 'Quarter 4'!I29)</f>
        <v>#REF!</v>
      </c>
      <c r="J29" s="22" t="e">
        <f>SUM(#REF!, 'Quarter 2'!J29, 'Quarter 3'!J29, 'Quarter 4'!J29)</f>
        <v>#REF!</v>
      </c>
      <c r="K29" s="22" t="e">
        <f>SUM(#REF!, 'Quarter 2'!K29, 'Quarter 3'!K29, 'Quarter 4'!K29)</f>
        <v>#REF!</v>
      </c>
      <c r="L29" s="23" t="e">
        <f t="shared" si="2"/>
        <v>#REF!</v>
      </c>
      <c r="M29" s="22" t="e">
        <f>SUM(#REF!, 'Quarter 2'!M29, 'Quarter 3'!M29, 'Quarter 4'!M29)</f>
        <v>#REF!</v>
      </c>
      <c r="N29" s="24" t="e">
        <f t="shared" si="3"/>
        <v>#REF!</v>
      </c>
      <c r="O29" s="22" t="e">
        <f>SUM(#REF!, 'Quarter 2'!O29, 'Quarter 3'!O29, 'Quarter 4'!O29)</f>
        <v>#REF!</v>
      </c>
      <c r="P29" s="22" t="e">
        <f>SUM(#REF!, 'Quarter 2'!P29, 'Quarter 3'!P29, 'Quarter 4'!P29)</f>
        <v>#REF!</v>
      </c>
      <c r="Q29" s="23" t="e">
        <f t="shared" si="4"/>
        <v>#REF!</v>
      </c>
      <c r="R29" s="22" t="e">
        <f>SUM(#REF!, 'Quarter 2'!R29, 'Quarter 3'!R29, 'Quarter 4'!R29)</f>
        <v>#REF!</v>
      </c>
      <c r="S29" s="24" t="e">
        <f t="shared" si="5"/>
        <v>#REF!</v>
      </c>
      <c r="T29" s="24" t="e">
        <f t="shared" si="13"/>
        <v>#REF!</v>
      </c>
      <c r="U29" s="64" t="e">
        <f t="shared" si="6"/>
        <v>#REF!</v>
      </c>
      <c r="V29" s="63" t="e">
        <f>SUM(#REF!, 'Quarter 2'!V29, 'Quarter 3'!V29, 'Quarter 4'!V29)</f>
        <v>#REF!</v>
      </c>
      <c r="W29" s="22" t="e">
        <f>SUM(#REF!, 'Quarter 2'!W29, 'Quarter 3'!W29, 'Quarter 4'!W29)</f>
        <v>#REF!</v>
      </c>
      <c r="X29" s="22" t="e">
        <f>SUM(#REF!, 'Quarter 2'!X29, 'Quarter 3'!X29, 'Quarter 4'!X29)</f>
        <v>#REF!</v>
      </c>
      <c r="Y29" s="22" t="e">
        <f>SUM(#REF!, 'Quarter 2'!Y29, 'Quarter 3'!Y29, 'Quarter 4'!Y29)</f>
        <v>#REF!</v>
      </c>
      <c r="Z29" s="24" t="e">
        <f t="shared" si="7"/>
        <v>#REF!</v>
      </c>
      <c r="AA29" s="22" t="e">
        <f>SUM(#REF!, 'Quarter 2'!AA29, 'Quarter 3'!AA29, 'Quarter 4'!AA29)</f>
        <v>#REF!</v>
      </c>
      <c r="AB29" s="28">
        <f t="shared" ref="AB29:AC29" si="38">IFERROR(V29/J29, 0)</f>
        <v>0</v>
      </c>
      <c r="AC29" s="28">
        <f t="shared" si="38"/>
        <v>0</v>
      </c>
      <c r="AD29" s="28">
        <f t="shared" ref="AD29:AE29" si="39">IFERROR(Z29/O29, 0)</f>
        <v>0</v>
      </c>
      <c r="AE29" s="28">
        <f t="shared" si="39"/>
        <v>0</v>
      </c>
      <c r="AF29" s="28">
        <f t="shared" si="10"/>
        <v>0</v>
      </c>
      <c r="AG29" s="63" t="e">
        <f>SUM(#REF!, 'Quarter 2'!AG29, 'Quarter 3'!AG29, 'Quarter 4'!AG29)</f>
        <v>#REF!</v>
      </c>
      <c r="AH29" s="22" t="e">
        <f>SUM(#REF!, 'Quarter 2'!AH29, 'Quarter 3'!AH29, 'Quarter 4'!AH29)</f>
        <v>#REF!</v>
      </c>
      <c r="AI29" s="22" t="e">
        <f>SUM(#REF!, 'Quarter 2'!AI29, 'Quarter 3'!AI29, 'Quarter 4'!AI29)</f>
        <v>#REF!</v>
      </c>
      <c r="AJ29" s="22" t="e">
        <f>SUM(#REF!, 'Quarter 2'!AJ29, 'Quarter 3'!AJ29, 'Quarter 4'!AJ29)</f>
        <v>#REF!</v>
      </c>
      <c r="AK29" s="22" t="e">
        <f>SUM(#REF!, 'Quarter 2'!AK29, 'Quarter 3'!AK29, 'Quarter 4'!AK29)</f>
        <v>#REF!</v>
      </c>
      <c r="AL29" s="22" t="e">
        <f>SUM(#REF!, 'Quarter 2'!AL29, 'Quarter 3'!AL29, 'Quarter 4'!AL29)</f>
        <v>#REF!</v>
      </c>
      <c r="AM29" s="64" t="e">
        <f t="shared" si="11"/>
        <v>#REF!</v>
      </c>
      <c r="AN29" s="63" t="e">
        <f>SUM(#REF!, 'Quarter 2'!AO29, 'Quarter 3'!AN29, 'Quarter 4'!AN29)</f>
        <v>#REF!</v>
      </c>
      <c r="AO29" s="30">
        <f t="shared" si="12"/>
        <v>0</v>
      </c>
    </row>
    <row r="30" spans="1:41" ht="15.75" customHeight="1" x14ac:dyDescent="0.2">
      <c r="A30" s="61"/>
      <c r="B30" s="62">
        <f>'Quarter 4'!B30</f>
        <v>0</v>
      </c>
      <c r="C30" s="63" t="e">
        <f>SUM(#REF!, 'Quarter 2'!C30, 'Quarter 3'!C30, 'Quarter 4'!C30)</f>
        <v>#REF!</v>
      </c>
      <c r="D30" s="22" t="e">
        <f>SUM(#REF!, 'Quarter 2'!D30, 'Quarter 3'!D30, 'Quarter 4'!D30)</f>
        <v>#REF!</v>
      </c>
      <c r="E30" s="23" t="e">
        <f t="shared" si="0"/>
        <v>#REF!</v>
      </c>
      <c r="F30" s="22" t="e">
        <f>SUM(#REF!, 'Quarter 2'!F30, 'Quarter 3'!F30, 'Quarter 4'!F30)</f>
        <v>#REF!</v>
      </c>
      <c r="G30" s="22" t="e">
        <f>SUM(#REF!, 'Quarter 2'!G30, 'Quarter 3'!G30, 'Quarter 4'!G30)</f>
        <v>#REF!</v>
      </c>
      <c r="H30" s="23" t="e">
        <f t="shared" si="1"/>
        <v>#REF!</v>
      </c>
      <c r="I30" s="22" t="e">
        <f>SUM(#REF!, 'Quarter 2'!I30, 'Quarter 3'!I30, 'Quarter 4'!I30)</f>
        <v>#REF!</v>
      </c>
      <c r="J30" s="22" t="e">
        <f>SUM(#REF!, 'Quarter 2'!J30, 'Quarter 3'!J30, 'Quarter 4'!J30)</f>
        <v>#REF!</v>
      </c>
      <c r="K30" s="22" t="e">
        <f>SUM(#REF!, 'Quarter 2'!K30, 'Quarter 3'!K30, 'Quarter 4'!K30)</f>
        <v>#REF!</v>
      </c>
      <c r="L30" s="23" t="e">
        <f t="shared" si="2"/>
        <v>#REF!</v>
      </c>
      <c r="M30" s="22" t="e">
        <f>SUM(#REF!, 'Quarter 2'!M30, 'Quarter 3'!M30, 'Quarter 4'!M30)</f>
        <v>#REF!</v>
      </c>
      <c r="N30" s="24" t="e">
        <f t="shared" si="3"/>
        <v>#REF!</v>
      </c>
      <c r="O30" s="22" t="e">
        <f>SUM(#REF!, 'Quarter 2'!O30, 'Quarter 3'!O30, 'Quarter 4'!O30)</f>
        <v>#REF!</v>
      </c>
      <c r="P30" s="22" t="e">
        <f>SUM(#REF!, 'Quarter 2'!P30, 'Quarter 3'!P30, 'Quarter 4'!P30)</f>
        <v>#REF!</v>
      </c>
      <c r="Q30" s="23" t="e">
        <f t="shared" si="4"/>
        <v>#REF!</v>
      </c>
      <c r="R30" s="22" t="e">
        <f>SUM(#REF!, 'Quarter 2'!R30, 'Quarter 3'!R30, 'Quarter 4'!R30)</f>
        <v>#REF!</v>
      </c>
      <c r="S30" s="24" t="e">
        <f t="shared" si="5"/>
        <v>#REF!</v>
      </c>
      <c r="T30" s="24" t="e">
        <f t="shared" si="13"/>
        <v>#REF!</v>
      </c>
      <c r="U30" s="64" t="e">
        <f t="shared" si="6"/>
        <v>#REF!</v>
      </c>
      <c r="V30" s="63" t="e">
        <f>SUM(#REF!, 'Quarter 2'!V30, 'Quarter 3'!V30, 'Quarter 4'!V30)</f>
        <v>#REF!</v>
      </c>
      <c r="W30" s="22" t="e">
        <f>SUM(#REF!, 'Quarter 2'!W30, 'Quarter 3'!W30, 'Quarter 4'!W30)</f>
        <v>#REF!</v>
      </c>
      <c r="X30" s="22" t="e">
        <f>SUM(#REF!, 'Quarter 2'!X30, 'Quarter 3'!X30, 'Quarter 4'!X30)</f>
        <v>#REF!</v>
      </c>
      <c r="Y30" s="22" t="e">
        <f>SUM(#REF!, 'Quarter 2'!Y30, 'Quarter 3'!Y30, 'Quarter 4'!Y30)</f>
        <v>#REF!</v>
      </c>
      <c r="Z30" s="24" t="e">
        <f t="shared" si="7"/>
        <v>#REF!</v>
      </c>
      <c r="AA30" s="22" t="e">
        <f>SUM(#REF!, 'Quarter 2'!AA30, 'Quarter 3'!AA30, 'Quarter 4'!AA30)</f>
        <v>#REF!</v>
      </c>
      <c r="AB30" s="28">
        <f t="shared" ref="AB30:AC30" si="40">IFERROR(V30/J30, 0)</f>
        <v>0</v>
      </c>
      <c r="AC30" s="28">
        <f t="shared" si="40"/>
        <v>0</v>
      </c>
      <c r="AD30" s="28">
        <f t="shared" ref="AD30:AE30" si="41">IFERROR(Z30/O30, 0)</f>
        <v>0</v>
      </c>
      <c r="AE30" s="28">
        <f t="shared" si="41"/>
        <v>0</v>
      </c>
      <c r="AF30" s="28">
        <f t="shared" si="10"/>
        <v>0</v>
      </c>
      <c r="AG30" s="63" t="e">
        <f>SUM(#REF!, 'Quarter 2'!AG30, 'Quarter 3'!AG30, 'Quarter 4'!AG30)</f>
        <v>#REF!</v>
      </c>
      <c r="AH30" s="22" t="e">
        <f>SUM(#REF!, 'Quarter 2'!AH30, 'Quarter 3'!AH30, 'Quarter 4'!AH30)</f>
        <v>#REF!</v>
      </c>
      <c r="AI30" s="22" t="e">
        <f>SUM(#REF!, 'Quarter 2'!AI30, 'Quarter 3'!AI30, 'Quarter 4'!AI30)</f>
        <v>#REF!</v>
      </c>
      <c r="AJ30" s="22" t="e">
        <f>SUM(#REF!, 'Quarter 2'!AJ30, 'Quarter 3'!AJ30, 'Quarter 4'!AJ30)</f>
        <v>#REF!</v>
      </c>
      <c r="AK30" s="22" t="e">
        <f>SUM(#REF!, 'Quarter 2'!AK30, 'Quarter 3'!AK30, 'Quarter 4'!AK30)</f>
        <v>#REF!</v>
      </c>
      <c r="AL30" s="22" t="e">
        <f>SUM(#REF!, 'Quarter 2'!AL30, 'Quarter 3'!AL30, 'Quarter 4'!AL30)</f>
        <v>#REF!</v>
      </c>
      <c r="AM30" s="64" t="e">
        <f t="shared" si="11"/>
        <v>#REF!</v>
      </c>
      <c r="AN30" s="63" t="e">
        <f>SUM(#REF!, 'Quarter 2'!AO30, 'Quarter 3'!AN30, 'Quarter 4'!AN30)</f>
        <v>#REF!</v>
      </c>
      <c r="AO30" s="30">
        <f t="shared" si="12"/>
        <v>0</v>
      </c>
    </row>
    <row r="31" spans="1:41" ht="15.75" customHeight="1" x14ac:dyDescent="0.2">
      <c r="A31" s="61"/>
      <c r="B31" s="62">
        <f>'Quarter 4'!B31</f>
        <v>0</v>
      </c>
      <c r="C31" s="63" t="e">
        <f>SUM(#REF!, 'Quarter 2'!C31, 'Quarter 3'!C31, 'Quarter 4'!C31)</f>
        <v>#REF!</v>
      </c>
      <c r="D31" s="22" t="e">
        <f>SUM(#REF!, 'Quarter 2'!D31, 'Quarter 3'!D31, 'Quarter 4'!D31)</f>
        <v>#REF!</v>
      </c>
      <c r="E31" s="23" t="e">
        <f t="shared" si="0"/>
        <v>#REF!</v>
      </c>
      <c r="F31" s="22" t="e">
        <f>SUM(#REF!, 'Quarter 2'!F31, 'Quarter 3'!F31, 'Quarter 4'!F31)</f>
        <v>#REF!</v>
      </c>
      <c r="G31" s="22" t="e">
        <f>SUM(#REF!, 'Quarter 2'!G31, 'Quarter 3'!G31, 'Quarter 4'!G31)</f>
        <v>#REF!</v>
      </c>
      <c r="H31" s="23" t="e">
        <f t="shared" si="1"/>
        <v>#REF!</v>
      </c>
      <c r="I31" s="22" t="e">
        <f>SUM(#REF!, 'Quarter 2'!I31, 'Quarter 3'!I31, 'Quarter 4'!I31)</f>
        <v>#REF!</v>
      </c>
      <c r="J31" s="22" t="e">
        <f>SUM(#REF!, 'Quarter 2'!J31, 'Quarter 3'!J31, 'Quarter 4'!J31)</f>
        <v>#REF!</v>
      </c>
      <c r="K31" s="22" t="e">
        <f>SUM(#REF!, 'Quarter 2'!K31, 'Quarter 3'!K31, 'Quarter 4'!K31)</f>
        <v>#REF!</v>
      </c>
      <c r="L31" s="23" t="e">
        <f t="shared" si="2"/>
        <v>#REF!</v>
      </c>
      <c r="M31" s="22" t="e">
        <f>SUM(#REF!, 'Quarter 2'!M31, 'Quarter 3'!M31, 'Quarter 4'!M31)</f>
        <v>#REF!</v>
      </c>
      <c r="N31" s="24" t="e">
        <f t="shared" si="3"/>
        <v>#REF!</v>
      </c>
      <c r="O31" s="22" t="e">
        <f>SUM(#REF!, 'Quarter 2'!O31, 'Quarter 3'!O31, 'Quarter 4'!O31)</f>
        <v>#REF!</v>
      </c>
      <c r="P31" s="22" t="e">
        <f>SUM(#REF!, 'Quarter 2'!P31, 'Quarter 3'!P31, 'Quarter 4'!P31)</f>
        <v>#REF!</v>
      </c>
      <c r="Q31" s="23" t="e">
        <f t="shared" si="4"/>
        <v>#REF!</v>
      </c>
      <c r="R31" s="22" t="e">
        <f>SUM(#REF!, 'Quarter 2'!R31, 'Quarter 3'!R31, 'Quarter 4'!R31)</f>
        <v>#REF!</v>
      </c>
      <c r="S31" s="24" t="e">
        <f t="shared" si="5"/>
        <v>#REF!</v>
      </c>
      <c r="T31" s="24" t="e">
        <f t="shared" si="13"/>
        <v>#REF!</v>
      </c>
      <c r="U31" s="64" t="e">
        <f t="shared" si="6"/>
        <v>#REF!</v>
      </c>
      <c r="V31" s="63" t="e">
        <f>SUM(#REF!, 'Quarter 2'!V31, 'Quarter 3'!V31, 'Quarter 4'!V31)</f>
        <v>#REF!</v>
      </c>
      <c r="W31" s="22" t="e">
        <f>SUM(#REF!, 'Quarter 2'!W31, 'Quarter 3'!W31, 'Quarter 4'!W31)</f>
        <v>#REF!</v>
      </c>
      <c r="X31" s="22" t="e">
        <f>SUM(#REF!, 'Quarter 2'!X31, 'Quarter 3'!X31, 'Quarter 4'!X31)</f>
        <v>#REF!</v>
      </c>
      <c r="Y31" s="22" t="e">
        <f>SUM(#REF!, 'Quarter 2'!Y31, 'Quarter 3'!Y31, 'Quarter 4'!Y31)</f>
        <v>#REF!</v>
      </c>
      <c r="Z31" s="24" t="e">
        <f t="shared" si="7"/>
        <v>#REF!</v>
      </c>
      <c r="AA31" s="22" t="e">
        <f>SUM(#REF!, 'Quarter 2'!AA31, 'Quarter 3'!AA31, 'Quarter 4'!AA31)</f>
        <v>#REF!</v>
      </c>
      <c r="AB31" s="28">
        <f t="shared" ref="AB31:AC31" si="42">IFERROR(V31/J31, 0)</f>
        <v>0</v>
      </c>
      <c r="AC31" s="28">
        <f t="shared" si="42"/>
        <v>0</v>
      </c>
      <c r="AD31" s="28">
        <f t="shared" ref="AD31:AE31" si="43">IFERROR(Z31/O31, 0)</f>
        <v>0</v>
      </c>
      <c r="AE31" s="28">
        <f t="shared" si="43"/>
        <v>0</v>
      </c>
      <c r="AF31" s="28">
        <f t="shared" si="10"/>
        <v>0</v>
      </c>
      <c r="AG31" s="63" t="e">
        <f>SUM(#REF!, 'Quarter 2'!AG31, 'Quarter 3'!AG31, 'Quarter 4'!AG31)</f>
        <v>#REF!</v>
      </c>
      <c r="AH31" s="22" t="e">
        <f>SUM(#REF!, 'Quarter 2'!AH31, 'Quarter 3'!AH31, 'Quarter 4'!AH31)</f>
        <v>#REF!</v>
      </c>
      <c r="AI31" s="22" t="e">
        <f>SUM(#REF!, 'Quarter 2'!AI31, 'Quarter 3'!AI31, 'Quarter 4'!AI31)</f>
        <v>#REF!</v>
      </c>
      <c r="AJ31" s="22" t="e">
        <f>SUM(#REF!, 'Quarter 2'!AJ31, 'Quarter 3'!AJ31, 'Quarter 4'!AJ31)</f>
        <v>#REF!</v>
      </c>
      <c r="AK31" s="22" t="e">
        <f>SUM(#REF!, 'Quarter 2'!AK31, 'Quarter 3'!AK31, 'Quarter 4'!AK31)</f>
        <v>#REF!</v>
      </c>
      <c r="AL31" s="22" t="e">
        <f>SUM(#REF!, 'Quarter 2'!AL31, 'Quarter 3'!AL31, 'Quarter 4'!AL31)</f>
        <v>#REF!</v>
      </c>
      <c r="AM31" s="64" t="e">
        <f t="shared" si="11"/>
        <v>#REF!</v>
      </c>
      <c r="AN31" s="63" t="e">
        <f>SUM(#REF!, 'Quarter 2'!AO31, 'Quarter 3'!AN31, 'Quarter 4'!AN31)</f>
        <v>#REF!</v>
      </c>
      <c r="AO31" s="30">
        <f t="shared" si="12"/>
        <v>0</v>
      </c>
    </row>
    <row r="32" spans="1:41" ht="15.75" customHeight="1" x14ac:dyDescent="0.2">
      <c r="A32" s="61"/>
      <c r="B32" s="62">
        <f>'Quarter 4'!B32</f>
        <v>0</v>
      </c>
      <c r="C32" s="63" t="e">
        <f>SUM(#REF!, 'Quarter 2'!C32, 'Quarter 3'!C32, 'Quarter 4'!C32)</f>
        <v>#REF!</v>
      </c>
      <c r="D32" s="22" t="e">
        <f>SUM(#REF!, 'Quarter 2'!D32, 'Quarter 3'!D32, 'Quarter 4'!D32)</f>
        <v>#REF!</v>
      </c>
      <c r="E32" s="23" t="e">
        <f t="shared" si="0"/>
        <v>#REF!</v>
      </c>
      <c r="F32" s="22" t="e">
        <f>SUM(#REF!, 'Quarter 2'!F32, 'Quarter 3'!F32, 'Quarter 4'!F32)</f>
        <v>#REF!</v>
      </c>
      <c r="G32" s="22" t="e">
        <f>SUM(#REF!, 'Quarter 2'!G32, 'Quarter 3'!G32, 'Quarter 4'!G32)</f>
        <v>#REF!</v>
      </c>
      <c r="H32" s="23" t="e">
        <f t="shared" si="1"/>
        <v>#REF!</v>
      </c>
      <c r="I32" s="22" t="e">
        <f>SUM(#REF!, 'Quarter 2'!I32, 'Quarter 3'!I32, 'Quarter 4'!I32)</f>
        <v>#REF!</v>
      </c>
      <c r="J32" s="22" t="e">
        <f>SUM(#REF!, 'Quarter 2'!J32, 'Quarter 3'!J32, 'Quarter 4'!J32)</f>
        <v>#REF!</v>
      </c>
      <c r="K32" s="22" t="e">
        <f>SUM(#REF!, 'Quarter 2'!K32, 'Quarter 3'!K32, 'Quarter 4'!K32)</f>
        <v>#REF!</v>
      </c>
      <c r="L32" s="23" t="e">
        <f t="shared" si="2"/>
        <v>#REF!</v>
      </c>
      <c r="M32" s="22" t="e">
        <f>SUM(#REF!, 'Quarter 2'!M32, 'Quarter 3'!M32, 'Quarter 4'!M32)</f>
        <v>#REF!</v>
      </c>
      <c r="N32" s="24" t="e">
        <f t="shared" si="3"/>
        <v>#REF!</v>
      </c>
      <c r="O32" s="22" t="e">
        <f>SUM(#REF!, 'Quarter 2'!O32, 'Quarter 3'!O32, 'Quarter 4'!O32)</f>
        <v>#REF!</v>
      </c>
      <c r="P32" s="22" t="e">
        <f>SUM(#REF!, 'Quarter 2'!P32, 'Quarter 3'!P32, 'Quarter 4'!P32)</f>
        <v>#REF!</v>
      </c>
      <c r="Q32" s="23" t="e">
        <f t="shared" si="4"/>
        <v>#REF!</v>
      </c>
      <c r="R32" s="22" t="e">
        <f>SUM(#REF!, 'Quarter 2'!R32, 'Quarter 3'!R32, 'Quarter 4'!R32)</f>
        <v>#REF!</v>
      </c>
      <c r="S32" s="24" t="e">
        <f t="shared" si="5"/>
        <v>#REF!</v>
      </c>
      <c r="T32" s="24" t="e">
        <f t="shared" si="13"/>
        <v>#REF!</v>
      </c>
      <c r="U32" s="64" t="e">
        <f t="shared" si="6"/>
        <v>#REF!</v>
      </c>
      <c r="V32" s="63" t="e">
        <f>SUM(#REF!, 'Quarter 2'!V32, 'Quarter 3'!V32, 'Quarter 4'!V32)</f>
        <v>#REF!</v>
      </c>
      <c r="W32" s="22" t="e">
        <f>SUM(#REF!, 'Quarter 2'!W32, 'Quarter 3'!W32, 'Quarter 4'!W32)</f>
        <v>#REF!</v>
      </c>
      <c r="X32" s="22" t="e">
        <f>SUM(#REF!, 'Quarter 2'!X32, 'Quarter 3'!X32, 'Quarter 4'!X32)</f>
        <v>#REF!</v>
      </c>
      <c r="Y32" s="22" t="e">
        <f>SUM(#REF!, 'Quarter 2'!Y32, 'Quarter 3'!Y32, 'Quarter 4'!Y32)</f>
        <v>#REF!</v>
      </c>
      <c r="Z32" s="24" t="e">
        <f t="shared" si="7"/>
        <v>#REF!</v>
      </c>
      <c r="AA32" s="22" t="e">
        <f>SUM(#REF!, 'Quarter 2'!AA32, 'Quarter 3'!AA32, 'Quarter 4'!AA32)</f>
        <v>#REF!</v>
      </c>
      <c r="AB32" s="28">
        <f t="shared" ref="AB32:AC32" si="44">IFERROR(V32/J32, 0)</f>
        <v>0</v>
      </c>
      <c r="AC32" s="28">
        <f t="shared" si="44"/>
        <v>0</v>
      </c>
      <c r="AD32" s="28">
        <f t="shared" ref="AD32:AE32" si="45">IFERROR(Z32/O32, 0)</f>
        <v>0</v>
      </c>
      <c r="AE32" s="28">
        <f t="shared" si="45"/>
        <v>0</v>
      </c>
      <c r="AF32" s="28">
        <f t="shared" si="10"/>
        <v>0</v>
      </c>
      <c r="AG32" s="63" t="e">
        <f>SUM(#REF!, 'Quarter 2'!AG32, 'Quarter 3'!AG32, 'Quarter 4'!AG32)</f>
        <v>#REF!</v>
      </c>
      <c r="AH32" s="22" t="e">
        <f>SUM(#REF!, 'Quarter 2'!AH32, 'Quarter 3'!AH32, 'Quarter 4'!AH32)</f>
        <v>#REF!</v>
      </c>
      <c r="AI32" s="22" t="e">
        <f>SUM(#REF!, 'Quarter 2'!AI32, 'Quarter 3'!AI32, 'Quarter 4'!AI32)</f>
        <v>#REF!</v>
      </c>
      <c r="AJ32" s="22" t="e">
        <f>SUM(#REF!, 'Quarter 2'!AJ32, 'Quarter 3'!AJ32, 'Quarter 4'!AJ32)</f>
        <v>#REF!</v>
      </c>
      <c r="AK32" s="22" t="e">
        <f>SUM(#REF!, 'Quarter 2'!AK32, 'Quarter 3'!AK32, 'Quarter 4'!AK32)</f>
        <v>#REF!</v>
      </c>
      <c r="AL32" s="22" t="e">
        <f>SUM(#REF!, 'Quarter 2'!AL32, 'Quarter 3'!AL32, 'Quarter 4'!AL32)</f>
        <v>#REF!</v>
      </c>
      <c r="AM32" s="64" t="e">
        <f t="shared" si="11"/>
        <v>#REF!</v>
      </c>
      <c r="AN32" s="63" t="e">
        <f>SUM(#REF!, 'Quarter 2'!AO32, 'Quarter 3'!AN32, 'Quarter 4'!AN32)</f>
        <v>#REF!</v>
      </c>
      <c r="AO32" s="30">
        <f t="shared" si="12"/>
        <v>0</v>
      </c>
    </row>
    <row r="33" spans="1:41" ht="15.75" customHeight="1" x14ac:dyDescent="0.2">
      <c r="A33" s="61"/>
      <c r="B33" s="62">
        <f>'Quarter 4'!B33</f>
        <v>0</v>
      </c>
      <c r="C33" s="63" t="e">
        <f>SUM(#REF!, 'Quarter 2'!C33, 'Quarter 3'!C33, 'Quarter 4'!C33)</f>
        <v>#REF!</v>
      </c>
      <c r="D33" s="22" t="e">
        <f>SUM(#REF!, 'Quarter 2'!D33, 'Quarter 3'!D33, 'Quarter 4'!D33)</f>
        <v>#REF!</v>
      </c>
      <c r="E33" s="23" t="e">
        <f t="shared" si="0"/>
        <v>#REF!</v>
      </c>
      <c r="F33" s="22" t="e">
        <f>SUM(#REF!, 'Quarter 2'!F33, 'Quarter 3'!F33, 'Quarter 4'!F33)</f>
        <v>#REF!</v>
      </c>
      <c r="G33" s="22" t="e">
        <f>SUM(#REF!, 'Quarter 2'!G33, 'Quarter 3'!G33, 'Quarter 4'!G33)</f>
        <v>#REF!</v>
      </c>
      <c r="H33" s="23" t="e">
        <f t="shared" si="1"/>
        <v>#REF!</v>
      </c>
      <c r="I33" s="22" t="e">
        <f>SUM(#REF!, 'Quarter 2'!I33, 'Quarter 3'!I33, 'Quarter 4'!I33)</f>
        <v>#REF!</v>
      </c>
      <c r="J33" s="22" t="e">
        <f>SUM(#REF!, 'Quarter 2'!J33, 'Quarter 3'!J33, 'Quarter 4'!J33)</f>
        <v>#REF!</v>
      </c>
      <c r="K33" s="22" t="e">
        <f>SUM(#REF!, 'Quarter 2'!K33, 'Quarter 3'!K33, 'Quarter 4'!K33)</f>
        <v>#REF!</v>
      </c>
      <c r="L33" s="23" t="e">
        <f t="shared" si="2"/>
        <v>#REF!</v>
      </c>
      <c r="M33" s="22" t="e">
        <f>SUM(#REF!, 'Quarter 2'!M33, 'Quarter 3'!M33, 'Quarter 4'!M33)</f>
        <v>#REF!</v>
      </c>
      <c r="N33" s="24" t="e">
        <f t="shared" si="3"/>
        <v>#REF!</v>
      </c>
      <c r="O33" s="22" t="e">
        <f>SUM(#REF!, 'Quarter 2'!O33, 'Quarter 3'!O33, 'Quarter 4'!O33)</f>
        <v>#REF!</v>
      </c>
      <c r="P33" s="22" t="e">
        <f>SUM(#REF!, 'Quarter 2'!P33, 'Quarter 3'!P33, 'Quarter 4'!P33)</f>
        <v>#REF!</v>
      </c>
      <c r="Q33" s="23" t="e">
        <f t="shared" si="4"/>
        <v>#REF!</v>
      </c>
      <c r="R33" s="22" t="e">
        <f>SUM(#REF!, 'Quarter 2'!R33, 'Quarter 3'!R33, 'Quarter 4'!R33)</f>
        <v>#REF!</v>
      </c>
      <c r="S33" s="24" t="e">
        <f t="shared" si="5"/>
        <v>#REF!</v>
      </c>
      <c r="T33" s="24" t="e">
        <f t="shared" si="13"/>
        <v>#REF!</v>
      </c>
      <c r="U33" s="64" t="e">
        <f t="shared" si="6"/>
        <v>#REF!</v>
      </c>
      <c r="V33" s="63" t="e">
        <f>SUM(#REF!, 'Quarter 2'!V33, 'Quarter 3'!V33, 'Quarter 4'!V33)</f>
        <v>#REF!</v>
      </c>
      <c r="W33" s="22" t="e">
        <f>SUM(#REF!, 'Quarter 2'!W33, 'Quarter 3'!W33, 'Quarter 4'!W33)</f>
        <v>#REF!</v>
      </c>
      <c r="X33" s="22" t="e">
        <f>SUM(#REF!, 'Quarter 2'!X33, 'Quarter 3'!X33, 'Quarter 4'!X33)</f>
        <v>#REF!</v>
      </c>
      <c r="Y33" s="22" t="e">
        <f>SUM(#REF!, 'Quarter 2'!Y33, 'Quarter 3'!Y33, 'Quarter 4'!Y33)</f>
        <v>#REF!</v>
      </c>
      <c r="Z33" s="24" t="e">
        <f t="shared" si="7"/>
        <v>#REF!</v>
      </c>
      <c r="AA33" s="22" t="e">
        <f>SUM(#REF!, 'Quarter 2'!AA33, 'Quarter 3'!AA33, 'Quarter 4'!AA33)</f>
        <v>#REF!</v>
      </c>
      <c r="AB33" s="28">
        <f t="shared" ref="AB33:AC33" si="46">IFERROR(V33/J33, 0)</f>
        <v>0</v>
      </c>
      <c r="AC33" s="28">
        <f t="shared" si="46"/>
        <v>0</v>
      </c>
      <c r="AD33" s="28">
        <f t="shared" ref="AD33:AE33" si="47">IFERROR(Z33/O33, 0)</f>
        <v>0</v>
      </c>
      <c r="AE33" s="28">
        <f t="shared" si="47"/>
        <v>0</v>
      </c>
      <c r="AF33" s="28">
        <f t="shared" si="10"/>
        <v>0</v>
      </c>
      <c r="AG33" s="63" t="e">
        <f>SUM(#REF!, 'Quarter 2'!AG33, 'Quarter 3'!AG33, 'Quarter 4'!AG33)</f>
        <v>#REF!</v>
      </c>
      <c r="AH33" s="22" t="e">
        <f>SUM(#REF!, 'Quarter 2'!AH33, 'Quarter 3'!AH33, 'Quarter 4'!AH33)</f>
        <v>#REF!</v>
      </c>
      <c r="AI33" s="22" t="e">
        <f>SUM(#REF!, 'Quarter 2'!AI33, 'Quarter 3'!AI33, 'Quarter 4'!AI33)</f>
        <v>#REF!</v>
      </c>
      <c r="AJ33" s="22" t="e">
        <f>SUM(#REF!, 'Quarter 2'!AJ33, 'Quarter 3'!AJ33, 'Quarter 4'!AJ33)</f>
        <v>#REF!</v>
      </c>
      <c r="AK33" s="22" t="e">
        <f>SUM(#REF!, 'Quarter 2'!AK33, 'Quarter 3'!AK33, 'Quarter 4'!AK33)</f>
        <v>#REF!</v>
      </c>
      <c r="AL33" s="22" t="e">
        <f>SUM(#REF!, 'Quarter 2'!AL33, 'Quarter 3'!AL33, 'Quarter 4'!AL33)</f>
        <v>#REF!</v>
      </c>
      <c r="AM33" s="64" t="e">
        <f t="shared" si="11"/>
        <v>#REF!</v>
      </c>
      <c r="AN33" s="63" t="e">
        <f>SUM(#REF!, 'Quarter 2'!AO33, 'Quarter 3'!AN33, 'Quarter 4'!AN33)</f>
        <v>#REF!</v>
      </c>
      <c r="AO33" s="30">
        <f t="shared" si="12"/>
        <v>0</v>
      </c>
    </row>
    <row r="34" spans="1:41" ht="15.75" customHeight="1" x14ac:dyDescent="0.2">
      <c r="A34" s="61"/>
      <c r="B34" s="62">
        <f>'Quarter 4'!B34</f>
        <v>0</v>
      </c>
      <c r="C34" s="63" t="e">
        <f>SUM(#REF!, 'Quarter 2'!C34, 'Quarter 3'!C34, 'Quarter 4'!C34)</f>
        <v>#REF!</v>
      </c>
      <c r="D34" s="22" t="e">
        <f>SUM(#REF!, 'Quarter 2'!D34, 'Quarter 3'!D34, 'Quarter 4'!D34)</f>
        <v>#REF!</v>
      </c>
      <c r="E34" s="23" t="e">
        <f t="shared" si="0"/>
        <v>#REF!</v>
      </c>
      <c r="F34" s="22" t="e">
        <f>SUM(#REF!, 'Quarter 2'!F34, 'Quarter 3'!F34, 'Quarter 4'!F34)</f>
        <v>#REF!</v>
      </c>
      <c r="G34" s="22" t="e">
        <f>SUM(#REF!, 'Quarter 2'!G34, 'Quarter 3'!G34, 'Quarter 4'!G34)</f>
        <v>#REF!</v>
      </c>
      <c r="H34" s="23" t="e">
        <f t="shared" si="1"/>
        <v>#REF!</v>
      </c>
      <c r="I34" s="22" t="e">
        <f>SUM(#REF!, 'Quarter 2'!I34, 'Quarter 3'!I34, 'Quarter 4'!I34)</f>
        <v>#REF!</v>
      </c>
      <c r="J34" s="22" t="e">
        <f>SUM(#REF!, 'Quarter 2'!J34, 'Quarter 3'!J34, 'Quarter 4'!J34)</f>
        <v>#REF!</v>
      </c>
      <c r="K34" s="22" t="e">
        <f>SUM(#REF!, 'Quarter 2'!K34, 'Quarter 3'!K34, 'Quarter 4'!K34)</f>
        <v>#REF!</v>
      </c>
      <c r="L34" s="23" t="e">
        <f t="shared" si="2"/>
        <v>#REF!</v>
      </c>
      <c r="M34" s="22" t="e">
        <f>SUM(#REF!, 'Quarter 2'!M34, 'Quarter 3'!M34, 'Quarter 4'!M34)</f>
        <v>#REF!</v>
      </c>
      <c r="N34" s="24" t="e">
        <f t="shared" si="3"/>
        <v>#REF!</v>
      </c>
      <c r="O34" s="22" t="e">
        <f>SUM(#REF!, 'Quarter 2'!O34, 'Quarter 3'!O34, 'Quarter 4'!O34)</f>
        <v>#REF!</v>
      </c>
      <c r="P34" s="22" t="e">
        <f>SUM(#REF!, 'Quarter 2'!P34, 'Quarter 3'!P34, 'Quarter 4'!P34)</f>
        <v>#REF!</v>
      </c>
      <c r="Q34" s="23" t="e">
        <f t="shared" si="4"/>
        <v>#REF!</v>
      </c>
      <c r="R34" s="22" t="e">
        <f>SUM(#REF!, 'Quarter 2'!R34, 'Quarter 3'!R34, 'Quarter 4'!R34)</f>
        <v>#REF!</v>
      </c>
      <c r="S34" s="24" t="e">
        <f t="shared" si="5"/>
        <v>#REF!</v>
      </c>
      <c r="T34" s="24" t="e">
        <f t="shared" si="13"/>
        <v>#REF!</v>
      </c>
      <c r="U34" s="64" t="e">
        <f t="shared" si="6"/>
        <v>#REF!</v>
      </c>
      <c r="V34" s="63" t="e">
        <f>SUM(#REF!, 'Quarter 2'!V34, 'Quarter 3'!V34, 'Quarter 4'!V34)</f>
        <v>#REF!</v>
      </c>
      <c r="W34" s="22" t="e">
        <f>SUM(#REF!, 'Quarter 2'!W34, 'Quarter 3'!W34, 'Quarter 4'!W34)</f>
        <v>#REF!</v>
      </c>
      <c r="X34" s="22" t="e">
        <f>SUM(#REF!, 'Quarter 2'!X34, 'Quarter 3'!X34, 'Quarter 4'!X34)</f>
        <v>#REF!</v>
      </c>
      <c r="Y34" s="22" t="e">
        <f>SUM(#REF!, 'Quarter 2'!Y34, 'Quarter 3'!Y34, 'Quarter 4'!Y34)</f>
        <v>#REF!</v>
      </c>
      <c r="Z34" s="24" t="e">
        <f t="shared" si="7"/>
        <v>#REF!</v>
      </c>
      <c r="AA34" s="22" t="e">
        <f>SUM(#REF!, 'Quarter 2'!AA34, 'Quarter 3'!AA34, 'Quarter 4'!AA34)</f>
        <v>#REF!</v>
      </c>
      <c r="AB34" s="28">
        <f t="shared" ref="AB34:AC34" si="48">IFERROR(V34/J34, 0)</f>
        <v>0</v>
      </c>
      <c r="AC34" s="28">
        <f t="shared" si="48"/>
        <v>0</v>
      </c>
      <c r="AD34" s="28">
        <f t="shared" ref="AD34:AE34" si="49">IFERROR(Z34/O34, 0)</f>
        <v>0</v>
      </c>
      <c r="AE34" s="28">
        <f t="shared" si="49"/>
        <v>0</v>
      </c>
      <c r="AF34" s="28">
        <f t="shared" si="10"/>
        <v>0</v>
      </c>
      <c r="AG34" s="63" t="e">
        <f>SUM(#REF!, 'Quarter 2'!AG34, 'Quarter 3'!AG34, 'Quarter 4'!AG34)</f>
        <v>#REF!</v>
      </c>
      <c r="AH34" s="22" t="e">
        <f>SUM(#REF!, 'Quarter 2'!AH34, 'Quarter 3'!AH34, 'Quarter 4'!AH34)</f>
        <v>#REF!</v>
      </c>
      <c r="AI34" s="22" t="e">
        <f>SUM(#REF!, 'Quarter 2'!AI34, 'Quarter 3'!AI34, 'Quarter 4'!AI34)</f>
        <v>#REF!</v>
      </c>
      <c r="AJ34" s="22" t="e">
        <f>SUM(#REF!, 'Quarter 2'!AJ34, 'Quarter 3'!AJ34, 'Quarter 4'!AJ34)</f>
        <v>#REF!</v>
      </c>
      <c r="AK34" s="22" t="e">
        <f>SUM(#REF!, 'Quarter 2'!AK34, 'Quarter 3'!AK34, 'Quarter 4'!AK34)</f>
        <v>#REF!</v>
      </c>
      <c r="AL34" s="22" t="e">
        <f>SUM(#REF!, 'Quarter 2'!AL34, 'Quarter 3'!AL34, 'Quarter 4'!AL34)</f>
        <v>#REF!</v>
      </c>
      <c r="AM34" s="64" t="e">
        <f t="shared" si="11"/>
        <v>#REF!</v>
      </c>
      <c r="AN34" s="63" t="e">
        <f>SUM(#REF!, 'Quarter 2'!AO34, 'Quarter 3'!AN34, 'Quarter 4'!AN34)</f>
        <v>#REF!</v>
      </c>
      <c r="AO34" s="30">
        <f t="shared" si="12"/>
        <v>0</v>
      </c>
    </row>
    <row r="35" spans="1:41" ht="15.75" customHeight="1" x14ac:dyDescent="0.2">
      <c r="A35" s="65"/>
      <c r="B35" s="66">
        <f>'Quarter 4'!B35</f>
        <v>0</v>
      </c>
      <c r="C35" s="63" t="e">
        <f>SUM(#REF!, 'Quarter 2'!C35, 'Quarter 3'!C35, 'Quarter 4'!C35)</f>
        <v>#REF!</v>
      </c>
      <c r="D35" s="22" t="e">
        <f>SUM(#REF!, 'Quarter 2'!D35, 'Quarter 3'!D35, 'Quarter 4'!D35)</f>
        <v>#REF!</v>
      </c>
      <c r="E35" s="36" t="e">
        <f>SUM(C35:D35)</f>
        <v>#REF!</v>
      </c>
      <c r="F35" s="22" t="e">
        <f>SUM(#REF!, 'Quarter 2'!F35, 'Quarter 3'!F35, 'Quarter 4'!F35)</f>
        <v>#REF!</v>
      </c>
      <c r="G35" s="22" t="e">
        <f>SUM(#REF!, 'Quarter 2'!G35, 'Quarter 3'!G35, 'Quarter 4'!G35)</f>
        <v>#REF!</v>
      </c>
      <c r="H35" s="36" t="e">
        <f t="shared" si="1"/>
        <v>#REF!</v>
      </c>
      <c r="I35" s="22" t="e">
        <f>SUM(#REF!, 'Quarter 2'!I35, 'Quarter 3'!I35, 'Quarter 4'!I35)</f>
        <v>#REF!</v>
      </c>
      <c r="J35" s="22" t="e">
        <f>SUM(#REF!, 'Quarter 2'!J35, 'Quarter 3'!J35, 'Quarter 4'!J35)</f>
        <v>#REF!</v>
      </c>
      <c r="K35" s="22" t="e">
        <f>SUM(#REF!, 'Quarter 2'!K35, 'Quarter 3'!K35, 'Quarter 4'!K35)</f>
        <v>#REF!</v>
      </c>
      <c r="L35" s="36" t="e">
        <f t="shared" si="2"/>
        <v>#REF!</v>
      </c>
      <c r="M35" s="22" t="e">
        <f>SUM(#REF!, 'Quarter 2'!M35, 'Quarter 3'!M35, 'Quarter 4'!M35)</f>
        <v>#REF!</v>
      </c>
      <c r="N35" s="37" t="e">
        <f t="shared" si="3"/>
        <v>#REF!</v>
      </c>
      <c r="O35" s="22" t="e">
        <f>SUM(#REF!, 'Quarter 2'!O35, 'Quarter 3'!O35, 'Quarter 4'!O35)</f>
        <v>#REF!</v>
      </c>
      <c r="P35" s="22" t="e">
        <f>SUM(#REF!, 'Quarter 2'!P35, 'Quarter 3'!P35, 'Quarter 4'!P35)</f>
        <v>#REF!</v>
      </c>
      <c r="Q35" s="36" t="e">
        <f t="shared" si="4"/>
        <v>#REF!</v>
      </c>
      <c r="R35" s="22" t="e">
        <f>SUM(#REF!, 'Quarter 2'!R35, 'Quarter 3'!R35, 'Quarter 4'!R35)</f>
        <v>#REF!</v>
      </c>
      <c r="S35" s="37" t="e">
        <f t="shared" si="5"/>
        <v>#REF!</v>
      </c>
      <c r="T35" s="37" t="e">
        <f t="shared" si="13"/>
        <v>#REF!</v>
      </c>
      <c r="U35" s="67" t="e">
        <f t="shared" si="6"/>
        <v>#REF!</v>
      </c>
      <c r="V35" s="63" t="e">
        <f>SUM(#REF!, 'Quarter 2'!V35, 'Quarter 3'!V35, 'Quarter 4'!V35)</f>
        <v>#REF!</v>
      </c>
      <c r="W35" s="22" t="e">
        <f>SUM(#REF!, 'Quarter 2'!W35, 'Quarter 3'!W35, 'Quarter 4'!W35)</f>
        <v>#REF!</v>
      </c>
      <c r="X35" s="22" t="e">
        <f>SUM(#REF!, 'Quarter 2'!X35, 'Quarter 3'!X35, 'Quarter 4'!X35)</f>
        <v>#REF!</v>
      </c>
      <c r="Y35" s="22" t="e">
        <f>SUM(#REF!, 'Quarter 2'!Y35, 'Quarter 3'!Y35, 'Quarter 4'!Y35)</f>
        <v>#REF!</v>
      </c>
      <c r="Z35" s="37" t="e">
        <f t="shared" si="7"/>
        <v>#REF!</v>
      </c>
      <c r="AA35" s="22" t="e">
        <f>SUM(#REF!, 'Quarter 2'!AA35, 'Quarter 3'!AA35, 'Quarter 4'!AA35)</f>
        <v>#REF!</v>
      </c>
      <c r="AB35" s="41">
        <f t="shared" ref="AB35:AC35" si="50">IFERROR(V35/J35, 0)</f>
        <v>0</v>
      </c>
      <c r="AC35" s="41">
        <f t="shared" si="50"/>
        <v>0</v>
      </c>
      <c r="AD35" s="41">
        <f t="shared" ref="AD35:AE35" si="51">IFERROR(Z35/O35, 0)</f>
        <v>0</v>
      </c>
      <c r="AE35" s="41">
        <f t="shared" si="51"/>
        <v>0</v>
      </c>
      <c r="AF35" s="41">
        <f t="shared" si="10"/>
        <v>0</v>
      </c>
      <c r="AG35" s="63" t="e">
        <f>SUM(#REF!, 'Quarter 2'!AG35, 'Quarter 3'!AG35, 'Quarter 4'!AG35)</f>
        <v>#REF!</v>
      </c>
      <c r="AH35" s="22" t="e">
        <f>SUM(#REF!, 'Quarter 2'!AH35, 'Quarter 3'!AH35, 'Quarter 4'!AH35)</f>
        <v>#REF!</v>
      </c>
      <c r="AI35" s="22" t="e">
        <f>SUM(#REF!, 'Quarter 2'!AI35, 'Quarter 3'!AI35, 'Quarter 4'!AI35)</f>
        <v>#REF!</v>
      </c>
      <c r="AJ35" s="22" t="e">
        <f>SUM(#REF!, 'Quarter 2'!AJ35, 'Quarter 3'!AJ35, 'Quarter 4'!AJ35)</f>
        <v>#REF!</v>
      </c>
      <c r="AK35" s="22" t="e">
        <f>SUM(#REF!, 'Quarter 2'!AK35, 'Quarter 3'!AK35, 'Quarter 4'!AK35)</f>
        <v>#REF!</v>
      </c>
      <c r="AL35" s="22" t="e">
        <f>SUM(#REF!, 'Quarter 2'!AL35, 'Quarter 3'!AL35, 'Quarter 4'!AL35)</f>
        <v>#REF!</v>
      </c>
      <c r="AM35" s="67" t="e">
        <f t="shared" si="11"/>
        <v>#REF!</v>
      </c>
      <c r="AN35" s="63" t="e">
        <f>SUM(#REF!, 'Quarter 2'!AO35, 'Quarter 3'!AN35, 'Quarter 4'!AN35)</f>
        <v>#REF!</v>
      </c>
      <c r="AO35" s="43">
        <f t="shared" si="12"/>
        <v>0</v>
      </c>
    </row>
    <row r="36" spans="1:41" ht="15.75" customHeight="1" x14ac:dyDescent="0.2">
      <c r="A36" s="44" t="s">
        <v>54</v>
      </c>
      <c r="B36" s="45">
        <f t="shared" ref="B36:AA36" si="52">SUM(B16:B35)</f>
        <v>0</v>
      </c>
      <c r="C36" s="46" t="e">
        <f t="shared" si="52"/>
        <v>#REF!</v>
      </c>
      <c r="D36" s="47" t="e">
        <f t="shared" si="52"/>
        <v>#REF!</v>
      </c>
      <c r="E36" s="47" t="e">
        <f t="shared" si="52"/>
        <v>#REF!</v>
      </c>
      <c r="F36" s="47" t="e">
        <f t="shared" si="52"/>
        <v>#REF!</v>
      </c>
      <c r="G36" s="47" t="e">
        <f t="shared" si="52"/>
        <v>#REF!</v>
      </c>
      <c r="H36" s="47" t="e">
        <f t="shared" si="52"/>
        <v>#REF!</v>
      </c>
      <c r="I36" s="47" t="e">
        <f t="shared" si="52"/>
        <v>#REF!</v>
      </c>
      <c r="J36" s="47" t="e">
        <f t="shared" si="52"/>
        <v>#REF!</v>
      </c>
      <c r="K36" s="47" t="e">
        <f t="shared" si="52"/>
        <v>#REF!</v>
      </c>
      <c r="L36" s="47" t="e">
        <f t="shared" si="52"/>
        <v>#REF!</v>
      </c>
      <c r="M36" s="47" t="e">
        <f t="shared" si="52"/>
        <v>#REF!</v>
      </c>
      <c r="N36" s="47" t="e">
        <f t="shared" si="52"/>
        <v>#REF!</v>
      </c>
      <c r="O36" s="47" t="e">
        <f t="shared" si="52"/>
        <v>#REF!</v>
      </c>
      <c r="P36" s="47" t="e">
        <f t="shared" si="52"/>
        <v>#REF!</v>
      </c>
      <c r="Q36" s="47" t="e">
        <f t="shared" si="52"/>
        <v>#REF!</v>
      </c>
      <c r="R36" s="47" t="e">
        <f t="shared" si="52"/>
        <v>#REF!</v>
      </c>
      <c r="S36" s="47" t="e">
        <f t="shared" si="52"/>
        <v>#REF!</v>
      </c>
      <c r="T36" s="47" t="e">
        <f t="shared" si="52"/>
        <v>#REF!</v>
      </c>
      <c r="U36" s="68" t="e">
        <f t="shared" si="52"/>
        <v>#REF!</v>
      </c>
      <c r="V36" s="46" t="e">
        <f t="shared" si="52"/>
        <v>#REF!</v>
      </c>
      <c r="W36" s="47" t="e">
        <f t="shared" si="52"/>
        <v>#REF!</v>
      </c>
      <c r="X36" s="47" t="e">
        <f t="shared" si="52"/>
        <v>#REF!</v>
      </c>
      <c r="Y36" s="47" t="e">
        <f t="shared" si="52"/>
        <v>#REF!</v>
      </c>
      <c r="Z36" s="47" t="e">
        <f t="shared" si="52"/>
        <v>#REF!</v>
      </c>
      <c r="AA36" s="47" t="e">
        <f t="shared" si="52"/>
        <v>#REF!</v>
      </c>
      <c r="AB36" s="49">
        <f t="shared" ref="AB36:AC36" si="53">IFERROR(V36/J36, 0)</f>
        <v>0</v>
      </c>
      <c r="AC36" s="49">
        <f t="shared" si="53"/>
        <v>0</v>
      </c>
      <c r="AD36" s="49">
        <f t="shared" ref="AD36:AE36" si="54">IFERROR(Z36/O36, 0)</f>
        <v>0</v>
      </c>
      <c r="AE36" s="49">
        <f t="shared" si="54"/>
        <v>0</v>
      </c>
      <c r="AF36" s="49">
        <f t="shared" si="10"/>
        <v>0</v>
      </c>
      <c r="AG36" s="46" t="e">
        <f t="shared" ref="AG36:AN36" si="55">SUM(AG16:AG35)</f>
        <v>#REF!</v>
      </c>
      <c r="AH36" s="47" t="e">
        <f t="shared" si="55"/>
        <v>#REF!</v>
      </c>
      <c r="AI36" s="47" t="e">
        <f t="shared" si="55"/>
        <v>#REF!</v>
      </c>
      <c r="AJ36" s="47" t="e">
        <f t="shared" si="55"/>
        <v>#REF!</v>
      </c>
      <c r="AK36" s="47" t="e">
        <f t="shared" si="55"/>
        <v>#REF!</v>
      </c>
      <c r="AL36" s="47" t="e">
        <f t="shared" si="55"/>
        <v>#REF!</v>
      </c>
      <c r="AM36" s="68" t="e">
        <f t="shared" si="55"/>
        <v>#REF!</v>
      </c>
      <c r="AN36" s="46" t="e">
        <f t="shared" si="55"/>
        <v>#REF!</v>
      </c>
      <c r="AO36" s="50">
        <f t="shared" si="12"/>
        <v>0</v>
      </c>
    </row>
    <row r="37" spans="1:41" ht="15.75" customHeight="1" x14ac:dyDescent="0.2">
      <c r="A37" s="51"/>
      <c r="B37" s="4"/>
      <c r="C37" s="52"/>
      <c r="D37" s="52"/>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row>
    <row r="38" spans="1:41" ht="15.75" customHeight="1" x14ac:dyDescent="0.2">
      <c r="A38" s="103" t="s">
        <v>55</v>
      </c>
      <c r="B38" s="4">
        <v>1</v>
      </c>
      <c r="C38" s="53" t="str">
        <f ca="1">IFERROR(__xludf.DUMMYFUNCTION("IF(
  COUNTUNIQUE($E$36,$H$36,$U$36,$AM$36)=1,
  ""✅ Totals of sex, age, animal bite cases, and biting animals match"",
  ""❌ Totals of sex, age, animal bite cases, and biting animals DO NOT match. Please recheck the data.""
)
"),"✅ Totals of sex, age, animal bite cases, and biting animals match")</f>
        <v>✅ Totals of sex, age, animal bite cases, and biting animals match</v>
      </c>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row>
    <row r="39" spans="1:41" ht="15.75" customHeight="1" x14ac:dyDescent="0.2">
      <c r="A39" s="88"/>
      <c r="B39" s="4">
        <v>2</v>
      </c>
      <c r="C39" s="53" t="str">
        <f>IF(
  SUMPRODUCT(--(AB16:AF36&gt;1))=0,
  "✅ PEP Coverage ≤100%",
  "❌ PEP Coverage cannot exceed 100%. "&amp;SUMPRODUCT(--(AB16:AF36&gt;1))&amp;" cell(s) exceed 100%. Please recheck the data."
)</f>
        <v>✅ PEP Coverage ≤100%</v>
      </c>
      <c r="D39" s="52"/>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row>
    <row r="40" spans="1:41" ht="15.75" customHeight="1" x14ac:dyDescent="0.2">
      <c r="A40" s="104" t="s">
        <v>81</v>
      </c>
      <c r="B40" s="88"/>
      <c r="C40" s="88"/>
      <c r="D40" s="88"/>
      <c r="E40" s="88"/>
      <c r="F40" s="88"/>
      <c r="G40" s="88"/>
      <c r="H40" s="88"/>
      <c r="I40" s="88"/>
      <c r="J40" s="88"/>
      <c r="K40" s="88"/>
      <c r="L40" s="88"/>
      <c r="M40" s="88"/>
      <c r="N40" s="88"/>
      <c r="O40" s="88"/>
      <c r="P40" s="88"/>
      <c r="Q40" s="88"/>
      <c r="R40" s="88"/>
      <c r="S40" s="88"/>
      <c r="T40" s="88"/>
      <c r="U40" s="88"/>
      <c r="V40" s="87" t="s">
        <v>82</v>
      </c>
      <c r="W40" s="88"/>
      <c r="X40" s="88"/>
      <c r="Y40" s="88"/>
      <c r="Z40" s="88"/>
      <c r="AA40" s="88"/>
      <c r="AB40" s="87" t="s">
        <v>83</v>
      </c>
      <c r="AC40" s="88"/>
      <c r="AD40" s="88"/>
      <c r="AE40" s="88"/>
      <c r="AF40" s="88"/>
      <c r="AG40" s="88"/>
      <c r="AH40" s="87" t="s">
        <v>84</v>
      </c>
      <c r="AI40" s="88"/>
      <c r="AJ40" s="88"/>
      <c r="AK40" s="88"/>
      <c r="AL40" s="88"/>
      <c r="AM40" s="88"/>
      <c r="AN40" s="88"/>
      <c r="AO40" s="88"/>
    </row>
    <row r="41" spans="1:41" ht="15.75" customHeight="1" x14ac:dyDescent="0.2"/>
    <row r="42" spans="1:41" ht="15.75" customHeight="1" x14ac:dyDescent="0.2"/>
    <row r="43" spans="1:41" ht="15.75" customHeight="1" x14ac:dyDescent="0.2"/>
    <row r="44" spans="1:41" ht="15.75" customHeight="1" x14ac:dyDescent="0.2"/>
    <row r="45" spans="1:41" ht="15.75" customHeight="1" x14ac:dyDescent="0.2"/>
    <row r="46" spans="1:41" ht="15.75" customHeight="1" x14ac:dyDescent="0.2"/>
    <row r="47" spans="1:41" ht="15.75" customHeight="1" x14ac:dyDescent="0.2"/>
    <row r="48" spans="1:41"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61">
    <mergeCell ref="T13:T15"/>
    <mergeCell ref="U13:U15"/>
    <mergeCell ref="X13:AA13"/>
    <mergeCell ref="AB13:AC13"/>
    <mergeCell ref="AN11:AO11"/>
    <mergeCell ref="AM12:AM15"/>
    <mergeCell ref="AN12:AN15"/>
    <mergeCell ref="AO12:AO15"/>
    <mergeCell ref="V13:W13"/>
    <mergeCell ref="V12:AA12"/>
    <mergeCell ref="AB12:AF12"/>
    <mergeCell ref="AG12:AI12"/>
    <mergeCell ref="AJ12:AL12"/>
    <mergeCell ref="AA14:AA15"/>
    <mergeCell ref="AB14:AB15"/>
    <mergeCell ref="AC14:AC15"/>
    <mergeCell ref="V11:AF11"/>
    <mergeCell ref="AG11:AM11"/>
    <mergeCell ref="AD13:AE13"/>
    <mergeCell ref="AF13:AF15"/>
    <mergeCell ref="AD14:AD15"/>
    <mergeCell ref="AE14:AE15"/>
    <mergeCell ref="AG13:AG15"/>
    <mergeCell ref="A1:A5"/>
    <mergeCell ref="A7:A9"/>
    <mergeCell ref="C7:F7"/>
    <mergeCell ref="J7:K7"/>
    <mergeCell ref="A11:A15"/>
    <mergeCell ref="C11:U11"/>
    <mergeCell ref="I12:U12"/>
    <mergeCell ref="C12:E12"/>
    <mergeCell ref="F12:H12"/>
    <mergeCell ref="B11:B15"/>
    <mergeCell ref="C13:C15"/>
    <mergeCell ref="D13:D15"/>
    <mergeCell ref="E13:E15"/>
    <mergeCell ref="F13:F15"/>
    <mergeCell ref="G13:G15"/>
    <mergeCell ref="H13:H15"/>
    <mergeCell ref="A40:U40"/>
    <mergeCell ref="V40:AA40"/>
    <mergeCell ref="AB40:AG40"/>
    <mergeCell ref="AH40:AO40"/>
    <mergeCell ref="N14:N15"/>
    <mergeCell ref="O14:Q14"/>
    <mergeCell ref="R14:R15"/>
    <mergeCell ref="S14:S15"/>
    <mergeCell ref="AH13:AH15"/>
    <mergeCell ref="AI13:AI15"/>
    <mergeCell ref="AJ13:AJ15"/>
    <mergeCell ref="AK13:AK15"/>
    <mergeCell ref="AL13:AL15"/>
    <mergeCell ref="V14:V15"/>
    <mergeCell ref="W14:W15"/>
    <mergeCell ref="X14:Z14"/>
    <mergeCell ref="J13:N13"/>
    <mergeCell ref="O13:S13"/>
    <mergeCell ref="J14:L14"/>
    <mergeCell ref="M14:M15"/>
    <mergeCell ref="A38:A39"/>
    <mergeCell ref="I13:I15"/>
  </mergeCells>
  <conditionalFormatting sqref="B38">
    <cfRule type="expression" dxfId="13" priority="1">
      <formula>COUNTUNIQUE($E$36,$H$36,$U$36,$AM$36)=1</formula>
    </cfRule>
    <cfRule type="expression" dxfId="12" priority="6">
      <formula>COUNTUNIQUE($E$36,$H$36,$U$36,$AM$36)&gt;1</formula>
    </cfRule>
  </conditionalFormatting>
  <conditionalFormatting sqref="B39">
    <cfRule type="expression" dxfId="11" priority="4">
      <formula>SUMPRODUCT(--(AB16:AF36&gt;1))=0</formula>
    </cfRule>
    <cfRule type="expression" dxfId="10" priority="5">
      <formula>SUMPRODUCT(--(AB16:AF36&gt;1))&gt;0</formula>
    </cfRule>
  </conditionalFormatting>
  <conditionalFormatting sqref="AB16:AF36">
    <cfRule type="expression" dxfId="9" priority="2">
      <formula>AND(AB16&lt;&gt;"", AB16&gt;1)</formula>
    </cfRule>
    <cfRule type="expression" dxfId="8" priority="3">
      <formula>AND(AB16&lt;&gt;"", AB16&gt;=0, AB16&lt;=1)</formula>
    </cfRule>
  </conditionalFormatting>
  <hyperlinks>
    <hyperlink ref="A40" r:id="rId1" xr:uid="{00000000-0004-0000-0400-000000000000}"/>
  </hyperlinks>
  <pageMargins left="0.75" right="0.75" top="1" bottom="1" header="0" footer="0"/>
  <pageSetup paperSize="14" orientation="landscape"/>
  <colBreaks count="2" manualBreakCount="2">
    <brk id="21" man="1"/>
    <brk id="41"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O1000"/>
  <sheetViews>
    <sheetView workbookViewId="0">
      <pane ySplit="16" topLeftCell="A17" activePane="bottomLeft" state="frozen"/>
      <selection pane="bottomLeft" activeCell="B18" sqref="B18"/>
    </sheetView>
  </sheetViews>
  <sheetFormatPr defaultColWidth="12.5703125" defaultRowHeight="15" customHeight="1" x14ac:dyDescent="0.2"/>
  <cols>
    <col min="1" max="1" width="18.140625" customWidth="1"/>
    <col min="2" max="67" width="10.7109375" customWidth="1"/>
  </cols>
  <sheetData>
    <row r="1" spans="1:67" ht="15.75" customHeight="1" x14ac:dyDescent="0.2">
      <c r="A1" s="122"/>
      <c r="B1" s="1"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ht="15.75" customHeight="1" x14ac:dyDescent="0.2">
      <c r="A2" s="88"/>
      <c r="B2" s="1"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15.75" customHeight="1" x14ac:dyDescent="0.2">
      <c r="A3" s="88"/>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row>
    <row r="4" spans="1:67" ht="15.75" customHeight="1" x14ac:dyDescent="0.2">
      <c r="A4" s="88"/>
      <c r="B4" s="3" t="s">
        <v>2</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row>
    <row r="5" spans="1:67" ht="15.75" customHeight="1" x14ac:dyDescent="0.2">
      <c r="A5" s="88"/>
      <c r="B5" s="3" t="s">
        <v>3</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row>
    <row r="6" spans="1:67" ht="15.75" customHeight="1" x14ac:dyDescent="0.2">
      <c r="A6" s="56"/>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row>
    <row r="7" spans="1:67" ht="15.75" customHeight="1" x14ac:dyDescent="0.2">
      <c r="A7" s="129"/>
      <c r="B7" s="3" t="s">
        <v>78</v>
      </c>
      <c r="C7" s="117"/>
      <c r="D7" s="118"/>
      <c r="F7" s="3" t="s">
        <v>4</v>
      </c>
      <c r="G7" s="3"/>
      <c r="H7" s="117"/>
      <c r="I7" s="118"/>
      <c r="J7" s="118"/>
      <c r="K7" s="118"/>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row>
    <row r="8" spans="1:67" ht="15.75" customHeight="1" x14ac:dyDescent="0.2">
      <c r="A8" s="88"/>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row>
    <row r="9" spans="1:67" ht="15.75" customHeight="1" x14ac:dyDescent="0.2">
      <c r="A9" s="88"/>
      <c r="B9" s="5" t="s">
        <v>85</v>
      </c>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row>
    <row r="10" spans="1:67" ht="15.75" customHeight="1" x14ac:dyDescent="0.2">
      <c r="A10" s="5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row>
    <row r="11" spans="1:67" ht="15.75" customHeight="1" x14ac:dyDescent="0.2">
      <c r="A11" s="92" t="s">
        <v>7</v>
      </c>
      <c r="B11" s="92" t="s">
        <v>8</v>
      </c>
      <c r="C11" s="105" t="s">
        <v>9</v>
      </c>
      <c r="D11" s="106"/>
      <c r="E11" s="106"/>
      <c r="F11" s="106"/>
      <c r="G11" s="106"/>
      <c r="H11" s="106"/>
      <c r="I11" s="106"/>
      <c r="J11" s="106"/>
      <c r="K11" s="106"/>
      <c r="L11" s="106"/>
      <c r="M11" s="106"/>
      <c r="N11" s="106"/>
      <c r="O11" s="106"/>
      <c r="P11" s="106"/>
      <c r="Q11" s="106"/>
      <c r="R11" s="106"/>
      <c r="S11" s="106"/>
      <c r="T11" s="106"/>
      <c r="U11" s="106"/>
      <c r="V11" s="106"/>
      <c r="W11" s="106"/>
      <c r="X11" s="106"/>
      <c r="Y11" s="106"/>
      <c r="Z11" s="106"/>
      <c r="AA11" s="106"/>
      <c r="AB11" s="106"/>
      <c r="AC11" s="106"/>
      <c r="AD11" s="106"/>
      <c r="AE11" s="106"/>
      <c r="AF11" s="106"/>
      <c r="AG11" s="106"/>
      <c r="AH11" s="106"/>
      <c r="AI11" s="106"/>
      <c r="AJ11" s="106"/>
      <c r="AK11" s="106"/>
      <c r="AL11" s="106"/>
      <c r="AM11" s="107"/>
      <c r="AN11" s="105" t="s">
        <v>10</v>
      </c>
      <c r="AO11" s="106"/>
      <c r="AP11" s="106"/>
      <c r="AQ11" s="106"/>
      <c r="AR11" s="106"/>
      <c r="AS11" s="106"/>
      <c r="AT11" s="106"/>
      <c r="AU11" s="106"/>
      <c r="AV11" s="106"/>
      <c r="AW11" s="106"/>
      <c r="AX11" s="106"/>
      <c r="AY11" s="106"/>
      <c r="AZ11" s="106"/>
      <c r="BA11" s="106"/>
      <c r="BB11" s="106"/>
      <c r="BC11" s="106"/>
      <c r="BD11" s="106"/>
      <c r="BE11" s="106"/>
      <c r="BF11" s="106"/>
      <c r="BG11" s="107"/>
      <c r="BH11" s="105" t="s">
        <v>11</v>
      </c>
      <c r="BI11" s="106"/>
      <c r="BJ11" s="106"/>
      <c r="BK11" s="106"/>
      <c r="BL11" s="106"/>
      <c r="BM11" s="107"/>
      <c r="BN11" s="105" t="s">
        <v>12</v>
      </c>
      <c r="BO11" s="107"/>
    </row>
    <row r="12" spans="1:67" ht="15.75" customHeight="1" x14ac:dyDescent="0.2">
      <c r="A12" s="93"/>
      <c r="B12" s="93"/>
      <c r="C12" s="105" t="s">
        <v>13</v>
      </c>
      <c r="D12" s="106"/>
      <c r="E12" s="107"/>
      <c r="F12" s="105" t="s">
        <v>14</v>
      </c>
      <c r="G12" s="106"/>
      <c r="H12" s="107"/>
      <c r="I12" s="105" t="s">
        <v>15</v>
      </c>
      <c r="J12" s="106"/>
      <c r="K12" s="106"/>
      <c r="L12" s="106"/>
      <c r="M12" s="106"/>
      <c r="N12" s="106"/>
      <c r="O12" s="106"/>
      <c r="P12" s="106"/>
      <c r="Q12" s="106"/>
      <c r="R12" s="106"/>
      <c r="S12" s="106"/>
      <c r="T12" s="106"/>
      <c r="U12" s="106"/>
      <c r="V12" s="106"/>
      <c r="W12" s="106"/>
      <c r="X12" s="106"/>
      <c r="Y12" s="106"/>
      <c r="Z12" s="106"/>
      <c r="AA12" s="106"/>
      <c r="AB12" s="106"/>
      <c r="AC12" s="106"/>
      <c r="AD12" s="106"/>
      <c r="AE12" s="106"/>
      <c r="AF12" s="106"/>
      <c r="AG12" s="106"/>
      <c r="AH12" s="106"/>
      <c r="AI12" s="106"/>
      <c r="AJ12" s="106"/>
      <c r="AK12" s="106"/>
      <c r="AL12" s="106"/>
      <c r="AM12" s="107"/>
      <c r="AN12" s="69"/>
      <c r="AO12" s="69"/>
      <c r="AP12" s="105" t="s">
        <v>16</v>
      </c>
      <c r="AQ12" s="106"/>
      <c r="AR12" s="106"/>
      <c r="AS12" s="106"/>
      <c r="AT12" s="106"/>
      <c r="AU12" s="106"/>
      <c r="AV12" s="106"/>
      <c r="AW12" s="106"/>
      <c r="AX12" s="106"/>
      <c r="AY12" s="106"/>
      <c r="AZ12" s="106"/>
      <c r="BA12" s="107"/>
      <c r="BB12" s="114" t="s">
        <v>17</v>
      </c>
      <c r="BC12" s="106"/>
      <c r="BD12" s="106"/>
      <c r="BE12" s="106"/>
      <c r="BF12" s="106"/>
      <c r="BG12" s="107"/>
      <c r="BH12" s="105" t="s">
        <v>18</v>
      </c>
      <c r="BI12" s="106"/>
      <c r="BJ12" s="107"/>
      <c r="BK12" s="105" t="s">
        <v>19</v>
      </c>
      <c r="BL12" s="107"/>
      <c r="BM12" s="92" t="s">
        <v>20</v>
      </c>
      <c r="BN12" s="92" t="s">
        <v>21</v>
      </c>
      <c r="BO12" s="124" t="s">
        <v>22</v>
      </c>
    </row>
    <row r="13" spans="1:67" ht="15.75" customHeight="1" x14ac:dyDescent="0.2">
      <c r="A13" s="93"/>
      <c r="B13" s="93"/>
      <c r="C13" s="92" t="s">
        <v>23</v>
      </c>
      <c r="D13" s="92" t="s">
        <v>24</v>
      </c>
      <c r="E13" s="92" t="s">
        <v>20</v>
      </c>
      <c r="F13" s="92" t="s">
        <v>25</v>
      </c>
      <c r="G13" s="92" t="s">
        <v>26</v>
      </c>
      <c r="H13" s="92" t="s">
        <v>20</v>
      </c>
      <c r="I13" s="105" t="s">
        <v>27</v>
      </c>
      <c r="J13" s="106"/>
      <c r="K13" s="107"/>
      <c r="L13" s="105" t="s">
        <v>28</v>
      </c>
      <c r="M13" s="106"/>
      <c r="N13" s="106"/>
      <c r="O13" s="106"/>
      <c r="P13" s="106"/>
      <c r="Q13" s="106"/>
      <c r="R13" s="106"/>
      <c r="S13" s="106"/>
      <c r="T13" s="106"/>
      <c r="U13" s="106"/>
      <c r="V13" s="106"/>
      <c r="W13" s="106"/>
      <c r="X13" s="107"/>
      <c r="Y13" s="105" t="s">
        <v>29</v>
      </c>
      <c r="Z13" s="106"/>
      <c r="AA13" s="106"/>
      <c r="AB13" s="106"/>
      <c r="AC13" s="106"/>
      <c r="AD13" s="106"/>
      <c r="AE13" s="106"/>
      <c r="AF13" s="106"/>
      <c r="AG13" s="106"/>
      <c r="AH13" s="106"/>
      <c r="AI13" s="106"/>
      <c r="AJ13" s="106"/>
      <c r="AK13" s="107"/>
      <c r="AL13" s="130" t="s">
        <v>86</v>
      </c>
      <c r="AM13" s="107"/>
      <c r="AN13" s="69"/>
      <c r="AO13" s="69"/>
      <c r="AP13" s="105" t="s">
        <v>28</v>
      </c>
      <c r="AQ13" s="106"/>
      <c r="AR13" s="106"/>
      <c r="AS13" s="107"/>
      <c r="AT13" s="69"/>
      <c r="AU13" s="105" t="s">
        <v>29</v>
      </c>
      <c r="AV13" s="106"/>
      <c r="AW13" s="106"/>
      <c r="AX13" s="106"/>
      <c r="AY13" s="106"/>
      <c r="AZ13" s="106"/>
      <c r="BA13" s="107"/>
      <c r="BB13" s="109" t="s">
        <v>32</v>
      </c>
      <c r="BC13" s="107"/>
      <c r="BD13" s="109" t="s">
        <v>33</v>
      </c>
      <c r="BE13" s="107"/>
      <c r="BF13" s="89" t="s">
        <v>34</v>
      </c>
      <c r="BG13" s="89" t="s">
        <v>87</v>
      </c>
      <c r="BH13" s="92" t="s">
        <v>35</v>
      </c>
      <c r="BI13" s="92" t="s">
        <v>36</v>
      </c>
      <c r="BJ13" s="92" t="s">
        <v>37</v>
      </c>
      <c r="BK13" s="92" t="s">
        <v>38</v>
      </c>
      <c r="BL13" s="92" t="s">
        <v>39</v>
      </c>
      <c r="BM13" s="93"/>
      <c r="BN13" s="93"/>
      <c r="BO13" s="93"/>
    </row>
    <row r="14" spans="1:67" ht="15.75" customHeight="1" x14ac:dyDescent="0.2">
      <c r="A14" s="93"/>
      <c r="B14" s="93"/>
      <c r="C14" s="93"/>
      <c r="D14" s="93"/>
      <c r="E14" s="93"/>
      <c r="F14" s="93"/>
      <c r="G14" s="93"/>
      <c r="H14" s="93"/>
      <c r="I14" s="92" t="s">
        <v>88</v>
      </c>
      <c r="J14" s="92" t="s">
        <v>89</v>
      </c>
      <c r="K14" s="92" t="s">
        <v>20</v>
      </c>
      <c r="L14" s="105" t="s">
        <v>41</v>
      </c>
      <c r="M14" s="106"/>
      <c r="N14" s="106"/>
      <c r="O14" s="106"/>
      <c r="P14" s="106"/>
      <c r="Q14" s="106"/>
      <c r="R14" s="107"/>
      <c r="S14" s="105" t="s">
        <v>42</v>
      </c>
      <c r="T14" s="106"/>
      <c r="U14" s="107"/>
      <c r="V14" s="132" t="s">
        <v>90</v>
      </c>
      <c r="W14" s="106"/>
      <c r="X14" s="107"/>
      <c r="Y14" s="105" t="s">
        <v>41</v>
      </c>
      <c r="Z14" s="106"/>
      <c r="AA14" s="106"/>
      <c r="AB14" s="106"/>
      <c r="AC14" s="106"/>
      <c r="AD14" s="106"/>
      <c r="AE14" s="107"/>
      <c r="AF14" s="105" t="s">
        <v>42</v>
      </c>
      <c r="AG14" s="106"/>
      <c r="AH14" s="107"/>
      <c r="AI14" s="105" t="s">
        <v>91</v>
      </c>
      <c r="AJ14" s="106"/>
      <c r="AK14" s="107"/>
      <c r="AL14" s="92" t="s">
        <v>30</v>
      </c>
      <c r="AM14" s="92" t="s">
        <v>20</v>
      </c>
      <c r="AN14" s="94" t="s">
        <v>45</v>
      </c>
      <c r="AO14" s="125"/>
      <c r="AP14" s="126"/>
      <c r="AQ14" s="94" t="s">
        <v>46</v>
      </c>
      <c r="AR14" s="125"/>
      <c r="AS14" s="126"/>
      <c r="AT14" s="105" t="s">
        <v>47</v>
      </c>
      <c r="AU14" s="106"/>
      <c r="AV14" s="106"/>
      <c r="AW14" s="106"/>
      <c r="AX14" s="106"/>
      <c r="AY14" s="106"/>
      <c r="AZ14" s="107"/>
      <c r="BA14" s="92" t="s">
        <v>48</v>
      </c>
      <c r="BB14" s="89" t="s">
        <v>45</v>
      </c>
      <c r="BC14" s="89" t="s">
        <v>46</v>
      </c>
      <c r="BD14" s="91" t="s">
        <v>49</v>
      </c>
      <c r="BE14" s="91" t="s">
        <v>50</v>
      </c>
      <c r="BF14" s="93"/>
      <c r="BG14" s="93"/>
      <c r="BH14" s="93"/>
      <c r="BI14" s="93"/>
      <c r="BJ14" s="93"/>
      <c r="BK14" s="93"/>
      <c r="BL14" s="93"/>
      <c r="BM14" s="93"/>
      <c r="BN14" s="93"/>
      <c r="BO14" s="93"/>
    </row>
    <row r="15" spans="1:67" ht="15.75" customHeight="1" x14ac:dyDescent="0.2">
      <c r="A15" s="90"/>
      <c r="B15" s="90"/>
      <c r="C15" s="90"/>
      <c r="D15" s="90"/>
      <c r="E15" s="90"/>
      <c r="F15" s="90"/>
      <c r="G15" s="90"/>
      <c r="H15" s="90"/>
      <c r="I15" s="93"/>
      <c r="J15" s="93"/>
      <c r="K15" s="93"/>
      <c r="L15" s="105" t="s">
        <v>45</v>
      </c>
      <c r="M15" s="106"/>
      <c r="N15" s="107"/>
      <c r="O15" s="105" t="s">
        <v>46</v>
      </c>
      <c r="P15" s="106"/>
      <c r="Q15" s="107"/>
      <c r="R15" s="92" t="s">
        <v>92</v>
      </c>
      <c r="S15" s="92" t="s">
        <v>88</v>
      </c>
      <c r="T15" s="92" t="s">
        <v>89</v>
      </c>
      <c r="U15" s="92" t="s">
        <v>93</v>
      </c>
      <c r="V15" s="92" t="s">
        <v>88</v>
      </c>
      <c r="W15" s="92" t="s">
        <v>89</v>
      </c>
      <c r="X15" s="92" t="s">
        <v>94</v>
      </c>
      <c r="Y15" s="105" t="s">
        <v>47</v>
      </c>
      <c r="Z15" s="106"/>
      <c r="AA15" s="107"/>
      <c r="AB15" s="105" t="s">
        <v>48</v>
      </c>
      <c r="AC15" s="106"/>
      <c r="AD15" s="107"/>
      <c r="AE15" s="92" t="s">
        <v>30</v>
      </c>
      <c r="AF15" s="92" t="s">
        <v>88</v>
      </c>
      <c r="AG15" s="92" t="s">
        <v>89</v>
      </c>
      <c r="AH15" s="92" t="s">
        <v>93</v>
      </c>
      <c r="AI15" s="92" t="s">
        <v>88</v>
      </c>
      <c r="AJ15" s="92" t="s">
        <v>89</v>
      </c>
      <c r="AK15" s="92" t="s">
        <v>95</v>
      </c>
      <c r="AL15" s="93"/>
      <c r="AM15" s="93"/>
      <c r="AN15" s="96"/>
      <c r="AO15" s="127"/>
      <c r="AP15" s="128"/>
      <c r="AQ15" s="96"/>
      <c r="AR15" s="127"/>
      <c r="AS15" s="128"/>
      <c r="AT15" s="105" t="s">
        <v>52</v>
      </c>
      <c r="AU15" s="106"/>
      <c r="AV15" s="107"/>
      <c r="AW15" s="105" t="s">
        <v>53</v>
      </c>
      <c r="AX15" s="106"/>
      <c r="AY15" s="107"/>
      <c r="AZ15" s="92" t="s">
        <v>20</v>
      </c>
      <c r="BA15" s="90"/>
      <c r="BB15" s="90"/>
      <c r="BC15" s="90"/>
      <c r="BD15" s="90"/>
      <c r="BE15" s="90"/>
      <c r="BF15" s="90"/>
      <c r="BG15" s="90"/>
      <c r="BH15" s="90"/>
      <c r="BI15" s="90"/>
      <c r="BJ15" s="90"/>
      <c r="BK15" s="90"/>
      <c r="BL15" s="90"/>
      <c r="BM15" s="90"/>
      <c r="BN15" s="90"/>
      <c r="BO15" s="90"/>
    </row>
    <row r="16" spans="1:67" ht="15.75" customHeight="1" x14ac:dyDescent="0.2">
      <c r="A16" s="69"/>
      <c r="B16" s="69"/>
      <c r="C16" s="69"/>
      <c r="D16" s="69"/>
      <c r="E16" s="69"/>
      <c r="F16" s="69"/>
      <c r="G16" s="69"/>
      <c r="H16" s="69"/>
      <c r="I16" s="90"/>
      <c r="J16" s="90"/>
      <c r="K16" s="90"/>
      <c r="L16" s="69" t="s">
        <v>88</v>
      </c>
      <c r="M16" s="69" t="s">
        <v>89</v>
      </c>
      <c r="N16" s="69" t="s">
        <v>20</v>
      </c>
      <c r="O16" s="69" t="s">
        <v>88</v>
      </c>
      <c r="P16" s="69" t="s">
        <v>89</v>
      </c>
      <c r="Q16" s="69" t="s">
        <v>20</v>
      </c>
      <c r="R16" s="90"/>
      <c r="S16" s="90"/>
      <c r="T16" s="90"/>
      <c r="U16" s="90"/>
      <c r="V16" s="90"/>
      <c r="W16" s="90"/>
      <c r="X16" s="90"/>
      <c r="Y16" s="69" t="s">
        <v>88</v>
      </c>
      <c r="Z16" s="69" t="s">
        <v>89</v>
      </c>
      <c r="AA16" s="69" t="s">
        <v>20</v>
      </c>
      <c r="AB16" s="69" t="s">
        <v>88</v>
      </c>
      <c r="AC16" s="69" t="s">
        <v>89</v>
      </c>
      <c r="AD16" s="69" t="s">
        <v>20</v>
      </c>
      <c r="AE16" s="90"/>
      <c r="AF16" s="90"/>
      <c r="AG16" s="90"/>
      <c r="AH16" s="90"/>
      <c r="AI16" s="90"/>
      <c r="AJ16" s="90"/>
      <c r="AK16" s="90"/>
      <c r="AL16" s="90"/>
      <c r="AM16" s="90"/>
      <c r="AN16" s="69" t="s">
        <v>88</v>
      </c>
      <c r="AO16" s="69" t="s">
        <v>89</v>
      </c>
      <c r="AP16" s="69" t="s">
        <v>20</v>
      </c>
      <c r="AQ16" s="69" t="s">
        <v>88</v>
      </c>
      <c r="AR16" s="69" t="s">
        <v>89</v>
      </c>
      <c r="AS16" s="69" t="s">
        <v>20</v>
      </c>
      <c r="AT16" s="69" t="s">
        <v>88</v>
      </c>
      <c r="AU16" s="69" t="s">
        <v>89</v>
      </c>
      <c r="AV16" s="69" t="s">
        <v>20</v>
      </c>
      <c r="AW16" s="69" t="s">
        <v>88</v>
      </c>
      <c r="AX16" s="69" t="s">
        <v>89</v>
      </c>
      <c r="AY16" s="69" t="s">
        <v>20</v>
      </c>
      <c r="AZ16" s="90"/>
      <c r="BA16" s="69"/>
      <c r="BB16" s="70"/>
      <c r="BC16" s="70"/>
      <c r="BD16" s="71"/>
      <c r="BE16" s="71"/>
      <c r="BF16" s="70"/>
      <c r="BG16" s="70"/>
      <c r="BH16" s="69"/>
      <c r="BI16" s="69"/>
      <c r="BJ16" s="69"/>
      <c r="BK16" s="69"/>
      <c r="BL16" s="69"/>
      <c r="BM16" s="69"/>
      <c r="BN16" s="69"/>
      <c r="BO16" s="72"/>
    </row>
    <row r="17" spans="1:67" ht="15.75" customHeight="1" x14ac:dyDescent="0.2">
      <c r="A17" s="73"/>
      <c r="B17" s="22"/>
      <c r="C17" s="22"/>
      <c r="D17" s="22"/>
      <c r="E17" s="23">
        <f t="shared" ref="E17:E35" si="0">SUM(C17,D17)</f>
        <v>0</v>
      </c>
      <c r="F17" s="22"/>
      <c r="G17" s="22"/>
      <c r="H17" s="23">
        <f t="shared" ref="H17:H36" si="1">F17+G17</f>
        <v>0</v>
      </c>
      <c r="I17" s="22"/>
      <c r="J17" s="22"/>
      <c r="K17" s="74">
        <f t="shared" ref="K17:K36" si="2">SUM(I17,J17)</f>
        <v>0</v>
      </c>
      <c r="L17" s="22"/>
      <c r="M17" s="22"/>
      <c r="N17" s="75">
        <f t="shared" ref="N17:N36" si="3">SUM(L17,M17)</f>
        <v>0</v>
      </c>
      <c r="O17" s="22"/>
      <c r="P17" s="22"/>
      <c r="Q17" s="75">
        <f t="shared" ref="Q17:Q36" si="4">SUM(O17,P17)</f>
        <v>0</v>
      </c>
      <c r="R17" s="74">
        <f t="shared" ref="R17:R36" si="5">SUM(N17,Q17)</f>
        <v>0</v>
      </c>
      <c r="S17" s="22"/>
      <c r="T17" s="22"/>
      <c r="U17" s="74">
        <f t="shared" ref="U17:U36" si="6">SUM(S17:T17)</f>
        <v>0</v>
      </c>
      <c r="V17" s="76">
        <f t="shared" ref="V17:W17" si="7">SUM(L17,O17,S17)</f>
        <v>0</v>
      </c>
      <c r="W17" s="76">
        <f t="shared" si="7"/>
        <v>0</v>
      </c>
      <c r="X17" s="77">
        <f t="shared" ref="X17:X36" si="8">SUM(R17,U17)</f>
        <v>0</v>
      </c>
      <c r="Y17" s="22"/>
      <c r="Z17" s="22"/>
      <c r="AA17" s="75">
        <f t="shared" ref="AA17:AA36" si="9">SUM(Y17,Z17)</f>
        <v>0</v>
      </c>
      <c r="AB17" s="22"/>
      <c r="AC17" s="22"/>
      <c r="AD17" s="75">
        <f t="shared" ref="AD17:AD36" si="10">SUM(AB17,AC17)</f>
        <v>0</v>
      </c>
      <c r="AE17" s="74">
        <f t="shared" ref="AE17:AE36" si="11">SUM(AA17,AD17)</f>
        <v>0</v>
      </c>
      <c r="AF17" s="22"/>
      <c r="AG17" s="22"/>
      <c r="AH17" s="74">
        <f t="shared" ref="AH17:AH36" si="12">SUM(AF17,AG17)</f>
        <v>0</v>
      </c>
      <c r="AI17" s="76">
        <f t="shared" ref="AI17:AJ17" si="13">SUM(Y17,AB17,AF17)</f>
        <v>0</v>
      </c>
      <c r="AJ17" s="76">
        <f t="shared" si="13"/>
        <v>0</v>
      </c>
      <c r="AK17" s="77">
        <f t="shared" ref="AK17:AK36" si="14">SUM(AE17,AH17)</f>
        <v>0</v>
      </c>
      <c r="AL17" s="24">
        <f t="shared" ref="AL17:AL36" si="15">SUM(M17,Q17,Z17,AC17)</f>
        <v>0</v>
      </c>
      <c r="AM17" s="24">
        <f t="shared" ref="AM17:AM36" si="16">SUM(K17,X17,AK17)</f>
        <v>0</v>
      </c>
      <c r="AN17" s="27"/>
      <c r="AO17" s="27"/>
      <c r="AP17" s="77">
        <f t="shared" ref="AP17:AP36" si="17">SUM(AN17,AO17)</f>
        <v>0</v>
      </c>
      <c r="AQ17" s="27"/>
      <c r="AR17" s="27"/>
      <c r="AS17" s="77">
        <f t="shared" ref="AS17:AS36" si="18">SUM(AQ17,AR17)</f>
        <v>0</v>
      </c>
      <c r="AT17" s="27"/>
      <c r="AU17" s="27"/>
      <c r="AV17" s="27"/>
      <c r="AW17" s="27"/>
      <c r="AX17" s="27"/>
      <c r="AY17" s="24"/>
      <c r="AZ17" s="24">
        <f t="shared" ref="AZ17:AZ36" si="19">SUM(AU17,AX17)</f>
        <v>0</v>
      </c>
      <c r="BA17" s="27"/>
      <c r="BB17" s="28">
        <f t="shared" ref="BB17:BB37" si="20">IFERROR(AP17/M17, 0)</f>
        <v>0</v>
      </c>
      <c r="BC17" s="28">
        <f t="shared" ref="BC17:BC37" si="21">IFERROR(AS17/Q17, 0)</f>
        <v>0</v>
      </c>
      <c r="BD17" s="28">
        <f t="shared" ref="BD17:BD37" si="22">IFERROR(AZ17/Z17, 0)</f>
        <v>0</v>
      </c>
      <c r="BE17" s="28">
        <f t="shared" ref="BE17:BE37" si="23">IFERROR(BA17/AC17, 0)</f>
        <v>0</v>
      </c>
      <c r="BF17" s="28">
        <f t="shared" ref="BF17:BF37" si="24">IFERROR(SUM(AP17,AS17,AZ17,BA17)/SUM(R17,AE17), 0)</f>
        <v>0</v>
      </c>
      <c r="BG17" s="28">
        <f t="shared" ref="BG17:BG37" si="25">IFERROR(AZ17/Z17, 0)</f>
        <v>0</v>
      </c>
      <c r="BH17" s="27"/>
      <c r="BI17" s="27"/>
      <c r="BJ17" s="27"/>
      <c r="BK17" s="27"/>
      <c r="BL17" s="27"/>
      <c r="BM17" s="24">
        <f t="shared" ref="BM17:BM36" si="26">SUM(BH17:BJ17)</f>
        <v>0</v>
      </c>
      <c r="BN17" s="27"/>
      <c r="BO17" s="78">
        <f t="shared" ref="BO17:BO37" si="27">IFERROR((BN17/B17)*1000000, 0)</f>
        <v>0</v>
      </c>
    </row>
    <row r="18" spans="1:67" ht="15.75" customHeight="1" x14ac:dyDescent="0.2">
      <c r="A18" s="73"/>
      <c r="B18" s="22"/>
      <c r="C18" s="22"/>
      <c r="D18" s="22"/>
      <c r="E18" s="23">
        <f t="shared" si="0"/>
        <v>0</v>
      </c>
      <c r="F18" s="22"/>
      <c r="G18" s="22"/>
      <c r="H18" s="23">
        <f t="shared" si="1"/>
        <v>0</v>
      </c>
      <c r="I18" s="22"/>
      <c r="J18" s="22"/>
      <c r="K18" s="74">
        <f t="shared" si="2"/>
        <v>0</v>
      </c>
      <c r="L18" s="22"/>
      <c r="M18" s="22"/>
      <c r="N18" s="75">
        <f t="shared" si="3"/>
        <v>0</v>
      </c>
      <c r="O18" s="22"/>
      <c r="P18" s="22"/>
      <c r="Q18" s="75">
        <f t="shared" si="4"/>
        <v>0</v>
      </c>
      <c r="R18" s="74">
        <f t="shared" si="5"/>
        <v>0</v>
      </c>
      <c r="S18" s="22"/>
      <c r="T18" s="22"/>
      <c r="U18" s="74">
        <f t="shared" si="6"/>
        <v>0</v>
      </c>
      <c r="V18" s="76">
        <f t="shared" ref="V18:W18" si="28">SUM(L18,O18,S18)</f>
        <v>0</v>
      </c>
      <c r="W18" s="76">
        <f t="shared" si="28"/>
        <v>0</v>
      </c>
      <c r="X18" s="77">
        <f t="shared" si="8"/>
        <v>0</v>
      </c>
      <c r="Y18" s="22"/>
      <c r="Z18" s="22"/>
      <c r="AA18" s="75">
        <f t="shared" si="9"/>
        <v>0</v>
      </c>
      <c r="AB18" s="22"/>
      <c r="AC18" s="22"/>
      <c r="AD18" s="75">
        <f t="shared" si="10"/>
        <v>0</v>
      </c>
      <c r="AE18" s="74">
        <f t="shared" si="11"/>
        <v>0</v>
      </c>
      <c r="AF18" s="22"/>
      <c r="AG18" s="22"/>
      <c r="AH18" s="74">
        <f t="shared" si="12"/>
        <v>0</v>
      </c>
      <c r="AI18" s="76">
        <f t="shared" ref="AI18:AJ18" si="29">SUM(Y18,AB18,AF18)</f>
        <v>0</v>
      </c>
      <c r="AJ18" s="76">
        <f t="shared" si="29"/>
        <v>0</v>
      </c>
      <c r="AK18" s="77">
        <f t="shared" si="14"/>
        <v>0</v>
      </c>
      <c r="AL18" s="24">
        <f t="shared" si="15"/>
        <v>0</v>
      </c>
      <c r="AM18" s="24">
        <f t="shared" si="16"/>
        <v>0</v>
      </c>
      <c r="AN18" s="27"/>
      <c r="AO18" s="27"/>
      <c r="AP18" s="77">
        <f t="shared" si="17"/>
        <v>0</v>
      </c>
      <c r="AQ18" s="27"/>
      <c r="AR18" s="27"/>
      <c r="AS18" s="77">
        <f t="shared" si="18"/>
        <v>0</v>
      </c>
      <c r="AT18" s="27"/>
      <c r="AU18" s="27"/>
      <c r="AV18" s="27"/>
      <c r="AW18" s="27"/>
      <c r="AX18" s="27"/>
      <c r="AY18" s="24"/>
      <c r="AZ18" s="24">
        <f t="shared" si="19"/>
        <v>0</v>
      </c>
      <c r="BA18" s="27"/>
      <c r="BB18" s="28">
        <f t="shared" si="20"/>
        <v>0</v>
      </c>
      <c r="BC18" s="28">
        <f t="shared" si="21"/>
        <v>0</v>
      </c>
      <c r="BD18" s="28">
        <f t="shared" si="22"/>
        <v>0</v>
      </c>
      <c r="BE18" s="28">
        <f t="shared" si="23"/>
        <v>0</v>
      </c>
      <c r="BF18" s="28">
        <f t="shared" si="24"/>
        <v>0</v>
      </c>
      <c r="BG18" s="28">
        <f t="shared" si="25"/>
        <v>0</v>
      </c>
      <c r="BH18" s="27"/>
      <c r="BI18" s="27"/>
      <c r="BJ18" s="27"/>
      <c r="BK18" s="27"/>
      <c r="BL18" s="27"/>
      <c r="BM18" s="24">
        <f t="shared" si="26"/>
        <v>0</v>
      </c>
      <c r="BN18" s="27"/>
      <c r="BO18" s="78">
        <f t="shared" si="27"/>
        <v>0</v>
      </c>
    </row>
    <row r="19" spans="1:67" ht="15.75" customHeight="1" x14ac:dyDescent="0.2">
      <c r="A19" s="73"/>
      <c r="B19" s="22"/>
      <c r="C19" s="22"/>
      <c r="D19" s="22"/>
      <c r="E19" s="23">
        <f t="shared" si="0"/>
        <v>0</v>
      </c>
      <c r="F19" s="22"/>
      <c r="G19" s="22"/>
      <c r="H19" s="23">
        <f t="shared" si="1"/>
        <v>0</v>
      </c>
      <c r="I19" s="22"/>
      <c r="J19" s="22"/>
      <c r="K19" s="74">
        <f t="shared" si="2"/>
        <v>0</v>
      </c>
      <c r="L19" s="22"/>
      <c r="M19" s="22"/>
      <c r="N19" s="75">
        <f t="shared" si="3"/>
        <v>0</v>
      </c>
      <c r="O19" s="22"/>
      <c r="P19" s="22"/>
      <c r="Q19" s="75">
        <f t="shared" si="4"/>
        <v>0</v>
      </c>
      <c r="R19" s="74">
        <f t="shared" si="5"/>
        <v>0</v>
      </c>
      <c r="S19" s="22"/>
      <c r="T19" s="22"/>
      <c r="U19" s="74">
        <f t="shared" si="6"/>
        <v>0</v>
      </c>
      <c r="V19" s="76">
        <f t="shared" ref="V19:W19" si="30">SUM(L19,O19,S19)</f>
        <v>0</v>
      </c>
      <c r="W19" s="76">
        <f t="shared" si="30"/>
        <v>0</v>
      </c>
      <c r="X19" s="77">
        <f t="shared" si="8"/>
        <v>0</v>
      </c>
      <c r="Y19" s="22"/>
      <c r="Z19" s="22"/>
      <c r="AA19" s="75">
        <f t="shared" si="9"/>
        <v>0</v>
      </c>
      <c r="AB19" s="22"/>
      <c r="AC19" s="22"/>
      <c r="AD19" s="75">
        <f t="shared" si="10"/>
        <v>0</v>
      </c>
      <c r="AE19" s="74">
        <f t="shared" si="11"/>
        <v>0</v>
      </c>
      <c r="AF19" s="22"/>
      <c r="AG19" s="22"/>
      <c r="AH19" s="74">
        <f t="shared" si="12"/>
        <v>0</v>
      </c>
      <c r="AI19" s="76">
        <f t="shared" ref="AI19:AJ19" si="31">SUM(Y19,AB19,AF19)</f>
        <v>0</v>
      </c>
      <c r="AJ19" s="76">
        <f t="shared" si="31"/>
        <v>0</v>
      </c>
      <c r="AK19" s="77">
        <f t="shared" si="14"/>
        <v>0</v>
      </c>
      <c r="AL19" s="24">
        <f t="shared" si="15"/>
        <v>0</v>
      </c>
      <c r="AM19" s="24">
        <f t="shared" si="16"/>
        <v>0</v>
      </c>
      <c r="AN19" s="27"/>
      <c r="AO19" s="27"/>
      <c r="AP19" s="77">
        <f t="shared" si="17"/>
        <v>0</v>
      </c>
      <c r="AQ19" s="27"/>
      <c r="AR19" s="27"/>
      <c r="AS19" s="77">
        <f t="shared" si="18"/>
        <v>0</v>
      </c>
      <c r="AT19" s="27"/>
      <c r="AU19" s="27"/>
      <c r="AV19" s="27"/>
      <c r="AW19" s="27"/>
      <c r="AX19" s="27"/>
      <c r="AY19" s="24"/>
      <c r="AZ19" s="24">
        <f t="shared" si="19"/>
        <v>0</v>
      </c>
      <c r="BA19" s="27"/>
      <c r="BB19" s="28">
        <f t="shared" si="20"/>
        <v>0</v>
      </c>
      <c r="BC19" s="28">
        <f t="shared" si="21"/>
        <v>0</v>
      </c>
      <c r="BD19" s="28">
        <f t="shared" si="22"/>
        <v>0</v>
      </c>
      <c r="BE19" s="28">
        <f t="shared" si="23"/>
        <v>0</v>
      </c>
      <c r="BF19" s="28">
        <f t="shared" si="24"/>
        <v>0</v>
      </c>
      <c r="BG19" s="28">
        <f t="shared" si="25"/>
        <v>0</v>
      </c>
      <c r="BH19" s="27"/>
      <c r="BI19" s="27"/>
      <c r="BJ19" s="27"/>
      <c r="BK19" s="27"/>
      <c r="BL19" s="27"/>
      <c r="BM19" s="24">
        <f t="shared" si="26"/>
        <v>0</v>
      </c>
      <c r="BN19" s="27"/>
      <c r="BO19" s="78">
        <f t="shared" si="27"/>
        <v>0</v>
      </c>
    </row>
    <row r="20" spans="1:67" ht="15.75" customHeight="1" x14ac:dyDescent="0.2">
      <c r="A20" s="73"/>
      <c r="B20" s="22"/>
      <c r="C20" s="22"/>
      <c r="D20" s="22"/>
      <c r="E20" s="23">
        <f t="shared" si="0"/>
        <v>0</v>
      </c>
      <c r="F20" s="22"/>
      <c r="G20" s="22"/>
      <c r="H20" s="23">
        <f t="shared" si="1"/>
        <v>0</v>
      </c>
      <c r="I20" s="22"/>
      <c r="J20" s="22"/>
      <c r="K20" s="74">
        <f t="shared" si="2"/>
        <v>0</v>
      </c>
      <c r="L20" s="22"/>
      <c r="M20" s="22"/>
      <c r="N20" s="75">
        <f t="shared" si="3"/>
        <v>0</v>
      </c>
      <c r="O20" s="22"/>
      <c r="P20" s="22"/>
      <c r="Q20" s="75">
        <f t="shared" si="4"/>
        <v>0</v>
      </c>
      <c r="R20" s="74">
        <f t="shared" si="5"/>
        <v>0</v>
      </c>
      <c r="S20" s="22"/>
      <c r="T20" s="22"/>
      <c r="U20" s="74">
        <f t="shared" si="6"/>
        <v>0</v>
      </c>
      <c r="V20" s="76">
        <f t="shared" ref="V20:W20" si="32">SUM(L20,O20,S20)</f>
        <v>0</v>
      </c>
      <c r="W20" s="76">
        <f t="shared" si="32"/>
        <v>0</v>
      </c>
      <c r="X20" s="77">
        <f t="shared" si="8"/>
        <v>0</v>
      </c>
      <c r="Y20" s="22"/>
      <c r="Z20" s="22"/>
      <c r="AA20" s="75">
        <f t="shared" si="9"/>
        <v>0</v>
      </c>
      <c r="AB20" s="22"/>
      <c r="AC20" s="22"/>
      <c r="AD20" s="75">
        <f t="shared" si="10"/>
        <v>0</v>
      </c>
      <c r="AE20" s="74">
        <f t="shared" si="11"/>
        <v>0</v>
      </c>
      <c r="AF20" s="22"/>
      <c r="AG20" s="22"/>
      <c r="AH20" s="74">
        <f t="shared" si="12"/>
        <v>0</v>
      </c>
      <c r="AI20" s="76">
        <f t="shared" ref="AI20:AJ20" si="33">SUM(Y20,AB20,AF20)</f>
        <v>0</v>
      </c>
      <c r="AJ20" s="76">
        <f t="shared" si="33"/>
        <v>0</v>
      </c>
      <c r="AK20" s="77">
        <f t="shared" si="14"/>
        <v>0</v>
      </c>
      <c r="AL20" s="24">
        <f t="shared" si="15"/>
        <v>0</v>
      </c>
      <c r="AM20" s="24">
        <f t="shared" si="16"/>
        <v>0</v>
      </c>
      <c r="AN20" s="27"/>
      <c r="AO20" s="27"/>
      <c r="AP20" s="77">
        <f t="shared" si="17"/>
        <v>0</v>
      </c>
      <c r="AQ20" s="27"/>
      <c r="AR20" s="27"/>
      <c r="AS20" s="77">
        <f t="shared" si="18"/>
        <v>0</v>
      </c>
      <c r="AT20" s="27"/>
      <c r="AU20" s="27"/>
      <c r="AV20" s="27"/>
      <c r="AW20" s="27"/>
      <c r="AX20" s="27"/>
      <c r="AY20" s="24"/>
      <c r="AZ20" s="24">
        <f t="shared" si="19"/>
        <v>0</v>
      </c>
      <c r="BA20" s="27"/>
      <c r="BB20" s="28">
        <f t="shared" si="20"/>
        <v>0</v>
      </c>
      <c r="BC20" s="28">
        <f t="shared" si="21"/>
        <v>0</v>
      </c>
      <c r="BD20" s="28">
        <f t="shared" si="22"/>
        <v>0</v>
      </c>
      <c r="BE20" s="28">
        <f t="shared" si="23"/>
        <v>0</v>
      </c>
      <c r="BF20" s="28">
        <f t="shared" si="24"/>
        <v>0</v>
      </c>
      <c r="BG20" s="28">
        <f t="shared" si="25"/>
        <v>0</v>
      </c>
      <c r="BH20" s="27"/>
      <c r="BI20" s="27"/>
      <c r="BJ20" s="27"/>
      <c r="BK20" s="27"/>
      <c r="BL20" s="27"/>
      <c r="BM20" s="24">
        <f t="shared" si="26"/>
        <v>0</v>
      </c>
      <c r="BN20" s="27"/>
      <c r="BO20" s="78">
        <f t="shared" si="27"/>
        <v>0</v>
      </c>
    </row>
    <row r="21" spans="1:67" ht="15.75" customHeight="1" x14ac:dyDescent="0.2">
      <c r="A21" s="73"/>
      <c r="B21" s="22"/>
      <c r="C21" s="22"/>
      <c r="D21" s="22"/>
      <c r="E21" s="23">
        <f t="shared" si="0"/>
        <v>0</v>
      </c>
      <c r="F21" s="22"/>
      <c r="G21" s="22"/>
      <c r="H21" s="23">
        <f t="shared" si="1"/>
        <v>0</v>
      </c>
      <c r="I21" s="22"/>
      <c r="J21" s="22"/>
      <c r="K21" s="74">
        <f t="shared" si="2"/>
        <v>0</v>
      </c>
      <c r="L21" s="22"/>
      <c r="M21" s="22"/>
      <c r="N21" s="75">
        <f t="shared" si="3"/>
        <v>0</v>
      </c>
      <c r="O21" s="22"/>
      <c r="P21" s="22"/>
      <c r="Q21" s="75">
        <f t="shared" si="4"/>
        <v>0</v>
      </c>
      <c r="R21" s="74">
        <f t="shared" si="5"/>
        <v>0</v>
      </c>
      <c r="S21" s="22"/>
      <c r="T21" s="22"/>
      <c r="U21" s="74">
        <f t="shared" si="6"/>
        <v>0</v>
      </c>
      <c r="V21" s="76">
        <f t="shared" ref="V21:W21" si="34">SUM(L21,O21,S21)</f>
        <v>0</v>
      </c>
      <c r="W21" s="76">
        <f t="shared" si="34"/>
        <v>0</v>
      </c>
      <c r="X21" s="77">
        <f t="shared" si="8"/>
        <v>0</v>
      </c>
      <c r="Y21" s="22"/>
      <c r="Z21" s="22"/>
      <c r="AA21" s="75">
        <f t="shared" si="9"/>
        <v>0</v>
      </c>
      <c r="AB21" s="22"/>
      <c r="AC21" s="22"/>
      <c r="AD21" s="75">
        <f t="shared" si="10"/>
        <v>0</v>
      </c>
      <c r="AE21" s="74">
        <f t="shared" si="11"/>
        <v>0</v>
      </c>
      <c r="AF21" s="22"/>
      <c r="AG21" s="22"/>
      <c r="AH21" s="74">
        <f t="shared" si="12"/>
        <v>0</v>
      </c>
      <c r="AI21" s="76">
        <f t="shared" ref="AI21:AJ21" si="35">SUM(Y21,AB21,AF21)</f>
        <v>0</v>
      </c>
      <c r="AJ21" s="76">
        <f t="shared" si="35"/>
        <v>0</v>
      </c>
      <c r="AK21" s="77">
        <f t="shared" si="14"/>
        <v>0</v>
      </c>
      <c r="AL21" s="24">
        <f t="shared" si="15"/>
        <v>0</v>
      </c>
      <c r="AM21" s="24">
        <f t="shared" si="16"/>
        <v>0</v>
      </c>
      <c r="AN21" s="27"/>
      <c r="AO21" s="27"/>
      <c r="AP21" s="77">
        <f t="shared" si="17"/>
        <v>0</v>
      </c>
      <c r="AQ21" s="27"/>
      <c r="AR21" s="27"/>
      <c r="AS21" s="77">
        <f t="shared" si="18"/>
        <v>0</v>
      </c>
      <c r="AT21" s="27"/>
      <c r="AU21" s="27"/>
      <c r="AV21" s="27"/>
      <c r="AW21" s="27"/>
      <c r="AX21" s="27"/>
      <c r="AY21" s="24"/>
      <c r="AZ21" s="24">
        <f t="shared" si="19"/>
        <v>0</v>
      </c>
      <c r="BA21" s="27"/>
      <c r="BB21" s="28">
        <f t="shared" si="20"/>
        <v>0</v>
      </c>
      <c r="BC21" s="28">
        <f t="shared" si="21"/>
        <v>0</v>
      </c>
      <c r="BD21" s="28">
        <f t="shared" si="22"/>
        <v>0</v>
      </c>
      <c r="BE21" s="28">
        <f t="shared" si="23"/>
        <v>0</v>
      </c>
      <c r="BF21" s="28">
        <f t="shared" si="24"/>
        <v>0</v>
      </c>
      <c r="BG21" s="28">
        <f t="shared" si="25"/>
        <v>0</v>
      </c>
      <c r="BH21" s="27"/>
      <c r="BI21" s="27"/>
      <c r="BJ21" s="27"/>
      <c r="BK21" s="27"/>
      <c r="BL21" s="27"/>
      <c r="BM21" s="24">
        <f t="shared" si="26"/>
        <v>0</v>
      </c>
      <c r="BN21" s="27"/>
      <c r="BO21" s="78">
        <f t="shared" si="27"/>
        <v>0</v>
      </c>
    </row>
    <row r="22" spans="1:67" ht="15.75" customHeight="1" x14ac:dyDescent="0.2">
      <c r="A22" s="73"/>
      <c r="B22" s="22"/>
      <c r="C22" s="22"/>
      <c r="D22" s="22"/>
      <c r="E22" s="23">
        <f t="shared" si="0"/>
        <v>0</v>
      </c>
      <c r="F22" s="22"/>
      <c r="G22" s="22"/>
      <c r="H22" s="23">
        <f t="shared" si="1"/>
        <v>0</v>
      </c>
      <c r="I22" s="22"/>
      <c r="J22" s="22"/>
      <c r="K22" s="74">
        <f t="shared" si="2"/>
        <v>0</v>
      </c>
      <c r="L22" s="22"/>
      <c r="M22" s="22"/>
      <c r="N22" s="75">
        <f t="shared" si="3"/>
        <v>0</v>
      </c>
      <c r="O22" s="22"/>
      <c r="P22" s="22"/>
      <c r="Q22" s="75">
        <f t="shared" si="4"/>
        <v>0</v>
      </c>
      <c r="R22" s="74">
        <f t="shared" si="5"/>
        <v>0</v>
      </c>
      <c r="S22" s="22"/>
      <c r="T22" s="22"/>
      <c r="U22" s="74">
        <f t="shared" si="6"/>
        <v>0</v>
      </c>
      <c r="V22" s="76">
        <f t="shared" ref="V22:W22" si="36">SUM(L22,O22,S22)</f>
        <v>0</v>
      </c>
      <c r="W22" s="76">
        <f t="shared" si="36"/>
        <v>0</v>
      </c>
      <c r="X22" s="77">
        <f t="shared" si="8"/>
        <v>0</v>
      </c>
      <c r="Y22" s="22"/>
      <c r="Z22" s="22"/>
      <c r="AA22" s="75">
        <f t="shared" si="9"/>
        <v>0</v>
      </c>
      <c r="AB22" s="22"/>
      <c r="AC22" s="22"/>
      <c r="AD22" s="75">
        <f t="shared" si="10"/>
        <v>0</v>
      </c>
      <c r="AE22" s="74">
        <f t="shared" si="11"/>
        <v>0</v>
      </c>
      <c r="AF22" s="22"/>
      <c r="AG22" s="22"/>
      <c r="AH22" s="74">
        <f t="shared" si="12"/>
        <v>0</v>
      </c>
      <c r="AI22" s="76">
        <f t="shared" ref="AI22:AJ22" si="37">SUM(Y22,AB22,AF22)</f>
        <v>0</v>
      </c>
      <c r="AJ22" s="76">
        <f t="shared" si="37"/>
        <v>0</v>
      </c>
      <c r="AK22" s="77">
        <f t="shared" si="14"/>
        <v>0</v>
      </c>
      <c r="AL22" s="24">
        <f t="shared" si="15"/>
        <v>0</v>
      </c>
      <c r="AM22" s="24">
        <f t="shared" si="16"/>
        <v>0</v>
      </c>
      <c r="AN22" s="27"/>
      <c r="AO22" s="27"/>
      <c r="AP22" s="77">
        <f t="shared" si="17"/>
        <v>0</v>
      </c>
      <c r="AQ22" s="27"/>
      <c r="AR22" s="27"/>
      <c r="AS22" s="77">
        <f t="shared" si="18"/>
        <v>0</v>
      </c>
      <c r="AT22" s="27"/>
      <c r="AU22" s="27"/>
      <c r="AV22" s="27"/>
      <c r="AW22" s="27"/>
      <c r="AX22" s="27"/>
      <c r="AY22" s="24"/>
      <c r="AZ22" s="24">
        <f t="shared" si="19"/>
        <v>0</v>
      </c>
      <c r="BA22" s="27"/>
      <c r="BB22" s="28">
        <f t="shared" si="20"/>
        <v>0</v>
      </c>
      <c r="BC22" s="28">
        <f t="shared" si="21"/>
        <v>0</v>
      </c>
      <c r="BD22" s="28">
        <f t="shared" si="22"/>
        <v>0</v>
      </c>
      <c r="BE22" s="28">
        <f t="shared" si="23"/>
        <v>0</v>
      </c>
      <c r="BF22" s="28">
        <f t="shared" si="24"/>
        <v>0</v>
      </c>
      <c r="BG22" s="28">
        <f t="shared" si="25"/>
        <v>0</v>
      </c>
      <c r="BH22" s="27"/>
      <c r="BI22" s="27"/>
      <c r="BJ22" s="27"/>
      <c r="BK22" s="27"/>
      <c r="BL22" s="27"/>
      <c r="BM22" s="24">
        <f t="shared" si="26"/>
        <v>0</v>
      </c>
      <c r="BN22" s="27"/>
      <c r="BO22" s="78">
        <f t="shared" si="27"/>
        <v>0</v>
      </c>
    </row>
    <row r="23" spans="1:67" ht="15.75" customHeight="1" x14ac:dyDescent="0.2">
      <c r="A23" s="73"/>
      <c r="B23" s="22"/>
      <c r="C23" s="22"/>
      <c r="D23" s="22"/>
      <c r="E23" s="23">
        <f t="shared" si="0"/>
        <v>0</v>
      </c>
      <c r="F23" s="22"/>
      <c r="G23" s="22"/>
      <c r="H23" s="23">
        <f t="shared" si="1"/>
        <v>0</v>
      </c>
      <c r="I23" s="22"/>
      <c r="J23" s="22"/>
      <c r="K23" s="74">
        <f t="shared" si="2"/>
        <v>0</v>
      </c>
      <c r="L23" s="22"/>
      <c r="M23" s="22"/>
      <c r="N23" s="75">
        <f t="shared" si="3"/>
        <v>0</v>
      </c>
      <c r="O23" s="22"/>
      <c r="P23" s="22"/>
      <c r="Q23" s="75">
        <f t="shared" si="4"/>
        <v>0</v>
      </c>
      <c r="R23" s="74">
        <f t="shared" si="5"/>
        <v>0</v>
      </c>
      <c r="S23" s="22"/>
      <c r="T23" s="22"/>
      <c r="U23" s="74">
        <f t="shared" si="6"/>
        <v>0</v>
      </c>
      <c r="V23" s="76">
        <f t="shared" ref="V23:W23" si="38">SUM(L23,O23,S23)</f>
        <v>0</v>
      </c>
      <c r="W23" s="76">
        <f t="shared" si="38"/>
        <v>0</v>
      </c>
      <c r="X23" s="77">
        <f t="shared" si="8"/>
        <v>0</v>
      </c>
      <c r="Y23" s="22"/>
      <c r="Z23" s="22"/>
      <c r="AA23" s="75">
        <f t="shared" si="9"/>
        <v>0</v>
      </c>
      <c r="AB23" s="22"/>
      <c r="AC23" s="22"/>
      <c r="AD23" s="75">
        <f t="shared" si="10"/>
        <v>0</v>
      </c>
      <c r="AE23" s="74">
        <f t="shared" si="11"/>
        <v>0</v>
      </c>
      <c r="AF23" s="22"/>
      <c r="AG23" s="22"/>
      <c r="AH23" s="74">
        <f t="shared" si="12"/>
        <v>0</v>
      </c>
      <c r="AI23" s="76">
        <f t="shared" ref="AI23:AJ23" si="39">SUM(Y23,AB23,AF23)</f>
        <v>0</v>
      </c>
      <c r="AJ23" s="76">
        <f t="shared" si="39"/>
        <v>0</v>
      </c>
      <c r="AK23" s="77">
        <f t="shared" si="14"/>
        <v>0</v>
      </c>
      <c r="AL23" s="24">
        <f t="shared" si="15"/>
        <v>0</v>
      </c>
      <c r="AM23" s="24">
        <f t="shared" si="16"/>
        <v>0</v>
      </c>
      <c r="AN23" s="27"/>
      <c r="AO23" s="27"/>
      <c r="AP23" s="77">
        <f t="shared" si="17"/>
        <v>0</v>
      </c>
      <c r="AQ23" s="27"/>
      <c r="AR23" s="27"/>
      <c r="AS23" s="77">
        <f t="shared" si="18"/>
        <v>0</v>
      </c>
      <c r="AT23" s="27"/>
      <c r="AU23" s="27"/>
      <c r="AV23" s="27"/>
      <c r="AW23" s="27"/>
      <c r="AX23" s="27"/>
      <c r="AY23" s="24"/>
      <c r="AZ23" s="24">
        <f t="shared" si="19"/>
        <v>0</v>
      </c>
      <c r="BA23" s="27"/>
      <c r="BB23" s="28">
        <f t="shared" si="20"/>
        <v>0</v>
      </c>
      <c r="BC23" s="28">
        <f t="shared" si="21"/>
        <v>0</v>
      </c>
      <c r="BD23" s="28">
        <f t="shared" si="22"/>
        <v>0</v>
      </c>
      <c r="BE23" s="28">
        <f t="shared" si="23"/>
        <v>0</v>
      </c>
      <c r="BF23" s="28">
        <f t="shared" si="24"/>
        <v>0</v>
      </c>
      <c r="BG23" s="28">
        <f t="shared" si="25"/>
        <v>0</v>
      </c>
      <c r="BH23" s="27"/>
      <c r="BI23" s="27"/>
      <c r="BJ23" s="27"/>
      <c r="BK23" s="27"/>
      <c r="BL23" s="27"/>
      <c r="BM23" s="24">
        <f t="shared" si="26"/>
        <v>0</v>
      </c>
      <c r="BN23" s="27"/>
      <c r="BO23" s="78">
        <f t="shared" si="27"/>
        <v>0</v>
      </c>
    </row>
    <row r="24" spans="1:67" ht="15.75" customHeight="1" x14ac:dyDescent="0.2">
      <c r="A24" s="73"/>
      <c r="B24" s="22"/>
      <c r="C24" s="22"/>
      <c r="D24" s="22"/>
      <c r="E24" s="23">
        <f t="shared" si="0"/>
        <v>0</v>
      </c>
      <c r="F24" s="22"/>
      <c r="G24" s="22"/>
      <c r="H24" s="23">
        <f t="shared" si="1"/>
        <v>0</v>
      </c>
      <c r="I24" s="22"/>
      <c r="J24" s="22"/>
      <c r="K24" s="74">
        <f t="shared" si="2"/>
        <v>0</v>
      </c>
      <c r="L24" s="22"/>
      <c r="M24" s="22"/>
      <c r="N24" s="75">
        <f t="shared" si="3"/>
        <v>0</v>
      </c>
      <c r="O24" s="22"/>
      <c r="P24" s="22"/>
      <c r="Q24" s="75">
        <f t="shared" si="4"/>
        <v>0</v>
      </c>
      <c r="R24" s="74">
        <f t="shared" si="5"/>
        <v>0</v>
      </c>
      <c r="S24" s="22"/>
      <c r="T24" s="22"/>
      <c r="U24" s="74">
        <f t="shared" si="6"/>
        <v>0</v>
      </c>
      <c r="V24" s="76">
        <f t="shared" ref="V24:W24" si="40">SUM(L24,O24,S24)</f>
        <v>0</v>
      </c>
      <c r="W24" s="76">
        <f t="shared" si="40"/>
        <v>0</v>
      </c>
      <c r="X24" s="77">
        <f t="shared" si="8"/>
        <v>0</v>
      </c>
      <c r="Y24" s="22"/>
      <c r="Z24" s="22"/>
      <c r="AA24" s="75">
        <f t="shared" si="9"/>
        <v>0</v>
      </c>
      <c r="AB24" s="22"/>
      <c r="AC24" s="22"/>
      <c r="AD24" s="75">
        <f t="shared" si="10"/>
        <v>0</v>
      </c>
      <c r="AE24" s="74">
        <f t="shared" si="11"/>
        <v>0</v>
      </c>
      <c r="AF24" s="22"/>
      <c r="AG24" s="22"/>
      <c r="AH24" s="74">
        <f t="shared" si="12"/>
        <v>0</v>
      </c>
      <c r="AI24" s="76">
        <f t="shared" ref="AI24:AJ24" si="41">SUM(Y24,AB24,AF24)</f>
        <v>0</v>
      </c>
      <c r="AJ24" s="76">
        <f t="shared" si="41"/>
        <v>0</v>
      </c>
      <c r="AK24" s="77">
        <f t="shared" si="14"/>
        <v>0</v>
      </c>
      <c r="AL24" s="24">
        <f t="shared" si="15"/>
        <v>0</v>
      </c>
      <c r="AM24" s="24">
        <f t="shared" si="16"/>
        <v>0</v>
      </c>
      <c r="AN24" s="27"/>
      <c r="AO24" s="27"/>
      <c r="AP24" s="77">
        <f t="shared" si="17"/>
        <v>0</v>
      </c>
      <c r="AQ24" s="27"/>
      <c r="AR24" s="27"/>
      <c r="AS24" s="77">
        <f t="shared" si="18"/>
        <v>0</v>
      </c>
      <c r="AT24" s="27"/>
      <c r="AU24" s="27"/>
      <c r="AV24" s="27"/>
      <c r="AW24" s="27"/>
      <c r="AX24" s="27"/>
      <c r="AY24" s="24"/>
      <c r="AZ24" s="24">
        <f t="shared" si="19"/>
        <v>0</v>
      </c>
      <c r="BA24" s="27"/>
      <c r="BB24" s="28">
        <f t="shared" si="20"/>
        <v>0</v>
      </c>
      <c r="BC24" s="28">
        <f t="shared" si="21"/>
        <v>0</v>
      </c>
      <c r="BD24" s="28">
        <f t="shared" si="22"/>
        <v>0</v>
      </c>
      <c r="BE24" s="28">
        <f t="shared" si="23"/>
        <v>0</v>
      </c>
      <c r="BF24" s="28">
        <f t="shared" si="24"/>
        <v>0</v>
      </c>
      <c r="BG24" s="28">
        <f t="shared" si="25"/>
        <v>0</v>
      </c>
      <c r="BH24" s="27"/>
      <c r="BI24" s="27"/>
      <c r="BJ24" s="27"/>
      <c r="BK24" s="27"/>
      <c r="BL24" s="27"/>
      <c r="BM24" s="24">
        <f t="shared" si="26"/>
        <v>0</v>
      </c>
      <c r="BN24" s="27"/>
      <c r="BO24" s="78">
        <f t="shared" si="27"/>
        <v>0</v>
      </c>
    </row>
    <row r="25" spans="1:67" ht="15.75" customHeight="1" x14ac:dyDescent="0.2">
      <c r="A25" s="73"/>
      <c r="B25" s="22"/>
      <c r="C25" s="22"/>
      <c r="D25" s="22"/>
      <c r="E25" s="23">
        <f t="shared" si="0"/>
        <v>0</v>
      </c>
      <c r="F25" s="22"/>
      <c r="G25" s="22"/>
      <c r="H25" s="23">
        <f t="shared" si="1"/>
        <v>0</v>
      </c>
      <c r="I25" s="22"/>
      <c r="J25" s="22"/>
      <c r="K25" s="74">
        <f t="shared" si="2"/>
        <v>0</v>
      </c>
      <c r="L25" s="22"/>
      <c r="M25" s="22"/>
      <c r="N25" s="75">
        <f t="shared" si="3"/>
        <v>0</v>
      </c>
      <c r="O25" s="22"/>
      <c r="P25" s="22"/>
      <c r="Q25" s="75">
        <f t="shared" si="4"/>
        <v>0</v>
      </c>
      <c r="R25" s="74">
        <f t="shared" si="5"/>
        <v>0</v>
      </c>
      <c r="S25" s="22"/>
      <c r="T25" s="22"/>
      <c r="U25" s="74">
        <f t="shared" si="6"/>
        <v>0</v>
      </c>
      <c r="V25" s="76">
        <f t="shared" ref="V25:W25" si="42">SUM(L25,O25,S25)</f>
        <v>0</v>
      </c>
      <c r="W25" s="76">
        <f t="shared" si="42"/>
        <v>0</v>
      </c>
      <c r="X25" s="77">
        <f t="shared" si="8"/>
        <v>0</v>
      </c>
      <c r="Y25" s="22"/>
      <c r="Z25" s="22"/>
      <c r="AA25" s="75">
        <f t="shared" si="9"/>
        <v>0</v>
      </c>
      <c r="AB25" s="22"/>
      <c r="AC25" s="22"/>
      <c r="AD25" s="75">
        <f t="shared" si="10"/>
        <v>0</v>
      </c>
      <c r="AE25" s="74">
        <f t="shared" si="11"/>
        <v>0</v>
      </c>
      <c r="AF25" s="22"/>
      <c r="AG25" s="22"/>
      <c r="AH25" s="74">
        <f t="shared" si="12"/>
        <v>0</v>
      </c>
      <c r="AI25" s="76">
        <f t="shared" ref="AI25:AJ25" si="43">SUM(Y25,AB25,AF25)</f>
        <v>0</v>
      </c>
      <c r="AJ25" s="76">
        <f t="shared" si="43"/>
        <v>0</v>
      </c>
      <c r="AK25" s="77">
        <f t="shared" si="14"/>
        <v>0</v>
      </c>
      <c r="AL25" s="24">
        <f t="shared" si="15"/>
        <v>0</v>
      </c>
      <c r="AM25" s="24">
        <f t="shared" si="16"/>
        <v>0</v>
      </c>
      <c r="AN25" s="27"/>
      <c r="AO25" s="27"/>
      <c r="AP25" s="77">
        <f t="shared" si="17"/>
        <v>0</v>
      </c>
      <c r="AQ25" s="27"/>
      <c r="AR25" s="27"/>
      <c r="AS25" s="77">
        <f t="shared" si="18"/>
        <v>0</v>
      </c>
      <c r="AT25" s="27"/>
      <c r="AU25" s="27"/>
      <c r="AV25" s="27"/>
      <c r="AW25" s="27"/>
      <c r="AX25" s="27"/>
      <c r="AY25" s="24"/>
      <c r="AZ25" s="24">
        <f t="shared" si="19"/>
        <v>0</v>
      </c>
      <c r="BA25" s="27"/>
      <c r="BB25" s="28">
        <f t="shared" si="20"/>
        <v>0</v>
      </c>
      <c r="BC25" s="28">
        <f t="shared" si="21"/>
        <v>0</v>
      </c>
      <c r="BD25" s="28">
        <f t="shared" si="22"/>
        <v>0</v>
      </c>
      <c r="BE25" s="28">
        <f t="shared" si="23"/>
        <v>0</v>
      </c>
      <c r="BF25" s="28">
        <f t="shared" si="24"/>
        <v>0</v>
      </c>
      <c r="BG25" s="28">
        <f t="shared" si="25"/>
        <v>0</v>
      </c>
      <c r="BH25" s="27"/>
      <c r="BI25" s="27"/>
      <c r="BJ25" s="27"/>
      <c r="BK25" s="27"/>
      <c r="BL25" s="27"/>
      <c r="BM25" s="24">
        <f t="shared" si="26"/>
        <v>0</v>
      </c>
      <c r="BN25" s="27"/>
      <c r="BO25" s="78">
        <f t="shared" si="27"/>
        <v>0</v>
      </c>
    </row>
    <row r="26" spans="1:67" ht="15.75" customHeight="1" x14ac:dyDescent="0.2">
      <c r="A26" s="73"/>
      <c r="B26" s="22"/>
      <c r="C26" s="22"/>
      <c r="D26" s="22"/>
      <c r="E26" s="23">
        <f t="shared" si="0"/>
        <v>0</v>
      </c>
      <c r="F26" s="22"/>
      <c r="G26" s="22"/>
      <c r="H26" s="23">
        <f t="shared" si="1"/>
        <v>0</v>
      </c>
      <c r="I26" s="22"/>
      <c r="J26" s="22"/>
      <c r="K26" s="74">
        <f t="shared" si="2"/>
        <v>0</v>
      </c>
      <c r="L26" s="22"/>
      <c r="M26" s="22"/>
      <c r="N26" s="75">
        <f t="shared" si="3"/>
        <v>0</v>
      </c>
      <c r="O26" s="22"/>
      <c r="P26" s="22"/>
      <c r="Q26" s="75">
        <f t="shared" si="4"/>
        <v>0</v>
      </c>
      <c r="R26" s="74">
        <f t="shared" si="5"/>
        <v>0</v>
      </c>
      <c r="S26" s="22"/>
      <c r="T26" s="22"/>
      <c r="U26" s="74">
        <f t="shared" si="6"/>
        <v>0</v>
      </c>
      <c r="V26" s="76">
        <f t="shared" ref="V26:W26" si="44">SUM(L26,O26,S26)</f>
        <v>0</v>
      </c>
      <c r="W26" s="76">
        <f t="shared" si="44"/>
        <v>0</v>
      </c>
      <c r="X26" s="77">
        <f t="shared" si="8"/>
        <v>0</v>
      </c>
      <c r="Y26" s="22"/>
      <c r="Z26" s="22"/>
      <c r="AA26" s="75">
        <f t="shared" si="9"/>
        <v>0</v>
      </c>
      <c r="AB26" s="22"/>
      <c r="AC26" s="22"/>
      <c r="AD26" s="75">
        <f t="shared" si="10"/>
        <v>0</v>
      </c>
      <c r="AE26" s="74">
        <f t="shared" si="11"/>
        <v>0</v>
      </c>
      <c r="AF26" s="22"/>
      <c r="AG26" s="22"/>
      <c r="AH26" s="74">
        <f t="shared" si="12"/>
        <v>0</v>
      </c>
      <c r="AI26" s="76">
        <f t="shared" ref="AI26:AJ26" si="45">SUM(Y26,AB26,AF26)</f>
        <v>0</v>
      </c>
      <c r="AJ26" s="76">
        <f t="shared" si="45"/>
        <v>0</v>
      </c>
      <c r="AK26" s="77">
        <f t="shared" si="14"/>
        <v>0</v>
      </c>
      <c r="AL26" s="24">
        <f t="shared" si="15"/>
        <v>0</v>
      </c>
      <c r="AM26" s="24">
        <f t="shared" si="16"/>
        <v>0</v>
      </c>
      <c r="AN26" s="27"/>
      <c r="AO26" s="27"/>
      <c r="AP26" s="77">
        <f t="shared" si="17"/>
        <v>0</v>
      </c>
      <c r="AQ26" s="27"/>
      <c r="AR26" s="27"/>
      <c r="AS26" s="77">
        <f t="shared" si="18"/>
        <v>0</v>
      </c>
      <c r="AT26" s="27"/>
      <c r="AU26" s="27"/>
      <c r="AV26" s="27"/>
      <c r="AW26" s="27"/>
      <c r="AX26" s="27"/>
      <c r="AY26" s="24"/>
      <c r="AZ26" s="24">
        <f t="shared" si="19"/>
        <v>0</v>
      </c>
      <c r="BA26" s="27"/>
      <c r="BB26" s="28">
        <f t="shared" si="20"/>
        <v>0</v>
      </c>
      <c r="BC26" s="28">
        <f t="shared" si="21"/>
        <v>0</v>
      </c>
      <c r="BD26" s="28">
        <f t="shared" si="22"/>
        <v>0</v>
      </c>
      <c r="BE26" s="28">
        <f t="shared" si="23"/>
        <v>0</v>
      </c>
      <c r="BF26" s="28">
        <f t="shared" si="24"/>
        <v>0</v>
      </c>
      <c r="BG26" s="28">
        <f t="shared" si="25"/>
        <v>0</v>
      </c>
      <c r="BH26" s="27"/>
      <c r="BI26" s="27"/>
      <c r="BJ26" s="27"/>
      <c r="BK26" s="27"/>
      <c r="BL26" s="27"/>
      <c r="BM26" s="24">
        <f t="shared" si="26"/>
        <v>0</v>
      </c>
      <c r="BN26" s="27"/>
      <c r="BO26" s="78">
        <f t="shared" si="27"/>
        <v>0</v>
      </c>
    </row>
    <row r="27" spans="1:67" ht="15.75" customHeight="1" x14ac:dyDescent="0.2">
      <c r="A27" s="73"/>
      <c r="B27" s="22"/>
      <c r="C27" s="22"/>
      <c r="D27" s="22"/>
      <c r="E27" s="23">
        <f t="shared" si="0"/>
        <v>0</v>
      </c>
      <c r="F27" s="22"/>
      <c r="G27" s="22"/>
      <c r="H27" s="23">
        <f t="shared" si="1"/>
        <v>0</v>
      </c>
      <c r="I27" s="22"/>
      <c r="J27" s="22"/>
      <c r="K27" s="74">
        <f t="shared" si="2"/>
        <v>0</v>
      </c>
      <c r="L27" s="22"/>
      <c r="M27" s="22"/>
      <c r="N27" s="75">
        <f t="shared" si="3"/>
        <v>0</v>
      </c>
      <c r="O27" s="22"/>
      <c r="P27" s="22"/>
      <c r="Q27" s="75">
        <f t="shared" si="4"/>
        <v>0</v>
      </c>
      <c r="R27" s="74">
        <f t="shared" si="5"/>
        <v>0</v>
      </c>
      <c r="S27" s="22"/>
      <c r="T27" s="22"/>
      <c r="U27" s="74">
        <f t="shared" si="6"/>
        <v>0</v>
      </c>
      <c r="V27" s="76">
        <f t="shared" ref="V27:W27" si="46">SUM(L27,O27,S27)</f>
        <v>0</v>
      </c>
      <c r="W27" s="76">
        <f t="shared" si="46"/>
        <v>0</v>
      </c>
      <c r="X27" s="77">
        <f t="shared" si="8"/>
        <v>0</v>
      </c>
      <c r="Y27" s="22"/>
      <c r="Z27" s="22"/>
      <c r="AA27" s="75">
        <f t="shared" si="9"/>
        <v>0</v>
      </c>
      <c r="AB27" s="22"/>
      <c r="AC27" s="22"/>
      <c r="AD27" s="75">
        <f t="shared" si="10"/>
        <v>0</v>
      </c>
      <c r="AE27" s="74">
        <f t="shared" si="11"/>
        <v>0</v>
      </c>
      <c r="AF27" s="22"/>
      <c r="AG27" s="22"/>
      <c r="AH27" s="74">
        <f t="shared" si="12"/>
        <v>0</v>
      </c>
      <c r="AI27" s="76">
        <f t="shared" ref="AI27:AJ27" si="47">SUM(Y27,AB27,AF27)</f>
        <v>0</v>
      </c>
      <c r="AJ27" s="76">
        <f t="shared" si="47"/>
        <v>0</v>
      </c>
      <c r="AK27" s="77">
        <f t="shared" si="14"/>
        <v>0</v>
      </c>
      <c r="AL27" s="24">
        <f t="shared" si="15"/>
        <v>0</v>
      </c>
      <c r="AM27" s="24">
        <f t="shared" si="16"/>
        <v>0</v>
      </c>
      <c r="AN27" s="27"/>
      <c r="AO27" s="27"/>
      <c r="AP27" s="77">
        <f t="shared" si="17"/>
        <v>0</v>
      </c>
      <c r="AQ27" s="27"/>
      <c r="AR27" s="27"/>
      <c r="AS27" s="77">
        <f t="shared" si="18"/>
        <v>0</v>
      </c>
      <c r="AT27" s="27"/>
      <c r="AU27" s="27"/>
      <c r="AV27" s="27"/>
      <c r="AW27" s="27"/>
      <c r="AX27" s="27"/>
      <c r="AY27" s="24"/>
      <c r="AZ27" s="24">
        <f t="shared" si="19"/>
        <v>0</v>
      </c>
      <c r="BA27" s="27"/>
      <c r="BB27" s="28">
        <f t="shared" si="20"/>
        <v>0</v>
      </c>
      <c r="BC27" s="28">
        <f t="shared" si="21"/>
        <v>0</v>
      </c>
      <c r="BD27" s="28">
        <f t="shared" si="22"/>
        <v>0</v>
      </c>
      <c r="BE27" s="28">
        <f t="shared" si="23"/>
        <v>0</v>
      </c>
      <c r="BF27" s="28">
        <f t="shared" si="24"/>
        <v>0</v>
      </c>
      <c r="BG27" s="28">
        <f t="shared" si="25"/>
        <v>0</v>
      </c>
      <c r="BH27" s="27"/>
      <c r="BI27" s="27"/>
      <c r="BJ27" s="27"/>
      <c r="BK27" s="27"/>
      <c r="BL27" s="27"/>
      <c r="BM27" s="24">
        <f t="shared" si="26"/>
        <v>0</v>
      </c>
      <c r="BN27" s="27"/>
      <c r="BO27" s="78">
        <f t="shared" si="27"/>
        <v>0</v>
      </c>
    </row>
    <row r="28" spans="1:67" ht="15.75" customHeight="1" x14ac:dyDescent="0.2">
      <c r="A28" s="73"/>
      <c r="B28" s="22"/>
      <c r="C28" s="22"/>
      <c r="D28" s="22"/>
      <c r="E28" s="23">
        <f t="shared" si="0"/>
        <v>0</v>
      </c>
      <c r="F28" s="22"/>
      <c r="G28" s="22"/>
      <c r="H28" s="23">
        <f t="shared" si="1"/>
        <v>0</v>
      </c>
      <c r="I28" s="22"/>
      <c r="J28" s="22"/>
      <c r="K28" s="74">
        <f t="shared" si="2"/>
        <v>0</v>
      </c>
      <c r="L28" s="22"/>
      <c r="M28" s="22"/>
      <c r="N28" s="75">
        <f t="shared" si="3"/>
        <v>0</v>
      </c>
      <c r="O28" s="22"/>
      <c r="P28" s="22"/>
      <c r="Q28" s="75">
        <f t="shared" si="4"/>
        <v>0</v>
      </c>
      <c r="R28" s="74">
        <f t="shared" si="5"/>
        <v>0</v>
      </c>
      <c r="S28" s="22"/>
      <c r="T28" s="22"/>
      <c r="U28" s="74">
        <f t="shared" si="6"/>
        <v>0</v>
      </c>
      <c r="V28" s="76">
        <f t="shared" ref="V28:W28" si="48">SUM(L28,O28,S28)</f>
        <v>0</v>
      </c>
      <c r="W28" s="76">
        <f t="shared" si="48"/>
        <v>0</v>
      </c>
      <c r="X28" s="77">
        <f t="shared" si="8"/>
        <v>0</v>
      </c>
      <c r="Y28" s="22"/>
      <c r="Z28" s="22"/>
      <c r="AA28" s="75">
        <f t="shared" si="9"/>
        <v>0</v>
      </c>
      <c r="AB28" s="22"/>
      <c r="AC28" s="22"/>
      <c r="AD28" s="75">
        <f t="shared" si="10"/>
        <v>0</v>
      </c>
      <c r="AE28" s="74">
        <f t="shared" si="11"/>
        <v>0</v>
      </c>
      <c r="AF28" s="22"/>
      <c r="AG28" s="22"/>
      <c r="AH28" s="74">
        <f t="shared" si="12"/>
        <v>0</v>
      </c>
      <c r="AI28" s="76">
        <f t="shared" ref="AI28:AJ28" si="49">SUM(Y28,AB28,AF28)</f>
        <v>0</v>
      </c>
      <c r="AJ28" s="76">
        <f t="shared" si="49"/>
        <v>0</v>
      </c>
      <c r="AK28" s="77">
        <f t="shared" si="14"/>
        <v>0</v>
      </c>
      <c r="AL28" s="24">
        <f t="shared" si="15"/>
        <v>0</v>
      </c>
      <c r="AM28" s="24">
        <f t="shared" si="16"/>
        <v>0</v>
      </c>
      <c r="AN28" s="27"/>
      <c r="AO28" s="27"/>
      <c r="AP28" s="77">
        <f t="shared" si="17"/>
        <v>0</v>
      </c>
      <c r="AQ28" s="27"/>
      <c r="AR28" s="27"/>
      <c r="AS28" s="77">
        <f t="shared" si="18"/>
        <v>0</v>
      </c>
      <c r="AT28" s="27"/>
      <c r="AU28" s="27"/>
      <c r="AV28" s="27"/>
      <c r="AW28" s="27"/>
      <c r="AX28" s="27"/>
      <c r="AY28" s="24"/>
      <c r="AZ28" s="24">
        <f t="shared" si="19"/>
        <v>0</v>
      </c>
      <c r="BA28" s="27"/>
      <c r="BB28" s="28">
        <f t="shared" si="20"/>
        <v>0</v>
      </c>
      <c r="BC28" s="28">
        <f t="shared" si="21"/>
        <v>0</v>
      </c>
      <c r="BD28" s="28">
        <f t="shared" si="22"/>
        <v>0</v>
      </c>
      <c r="BE28" s="28">
        <f t="shared" si="23"/>
        <v>0</v>
      </c>
      <c r="BF28" s="28">
        <f t="shared" si="24"/>
        <v>0</v>
      </c>
      <c r="BG28" s="28">
        <f t="shared" si="25"/>
        <v>0</v>
      </c>
      <c r="BH28" s="27"/>
      <c r="BI28" s="27"/>
      <c r="BJ28" s="27"/>
      <c r="BK28" s="27"/>
      <c r="BL28" s="27"/>
      <c r="BM28" s="24">
        <f t="shared" si="26"/>
        <v>0</v>
      </c>
      <c r="BN28" s="27"/>
      <c r="BO28" s="78">
        <f t="shared" si="27"/>
        <v>0</v>
      </c>
    </row>
    <row r="29" spans="1:67" ht="15.75" customHeight="1" x14ac:dyDescent="0.2">
      <c r="A29" s="73"/>
      <c r="B29" s="22"/>
      <c r="C29" s="22"/>
      <c r="D29" s="22"/>
      <c r="E29" s="23">
        <f t="shared" si="0"/>
        <v>0</v>
      </c>
      <c r="F29" s="22"/>
      <c r="G29" s="22"/>
      <c r="H29" s="23">
        <f t="shared" si="1"/>
        <v>0</v>
      </c>
      <c r="I29" s="22"/>
      <c r="J29" s="22"/>
      <c r="K29" s="74">
        <f t="shared" si="2"/>
        <v>0</v>
      </c>
      <c r="L29" s="22"/>
      <c r="M29" s="22"/>
      <c r="N29" s="75">
        <f t="shared" si="3"/>
        <v>0</v>
      </c>
      <c r="O29" s="22"/>
      <c r="P29" s="22"/>
      <c r="Q29" s="75">
        <f t="shared" si="4"/>
        <v>0</v>
      </c>
      <c r="R29" s="74">
        <f t="shared" si="5"/>
        <v>0</v>
      </c>
      <c r="S29" s="22"/>
      <c r="T29" s="22"/>
      <c r="U29" s="74">
        <f t="shared" si="6"/>
        <v>0</v>
      </c>
      <c r="V29" s="76">
        <f t="shared" ref="V29:W29" si="50">SUM(L29,O29,S29)</f>
        <v>0</v>
      </c>
      <c r="W29" s="76">
        <f t="shared" si="50"/>
        <v>0</v>
      </c>
      <c r="X29" s="77">
        <f t="shared" si="8"/>
        <v>0</v>
      </c>
      <c r="Y29" s="22"/>
      <c r="Z29" s="22"/>
      <c r="AA29" s="75">
        <f t="shared" si="9"/>
        <v>0</v>
      </c>
      <c r="AB29" s="22"/>
      <c r="AC29" s="22"/>
      <c r="AD29" s="75">
        <f t="shared" si="10"/>
        <v>0</v>
      </c>
      <c r="AE29" s="74">
        <f t="shared" si="11"/>
        <v>0</v>
      </c>
      <c r="AF29" s="22"/>
      <c r="AG29" s="22"/>
      <c r="AH29" s="74">
        <f t="shared" si="12"/>
        <v>0</v>
      </c>
      <c r="AI29" s="76">
        <f t="shared" ref="AI29:AJ29" si="51">SUM(Y29,AB29,AF29)</f>
        <v>0</v>
      </c>
      <c r="AJ29" s="76">
        <f t="shared" si="51"/>
        <v>0</v>
      </c>
      <c r="AK29" s="77">
        <f t="shared" si="14"/>
        <v>0</v>
      </c>
      <c r="AL29" s="24">
        <f t="shared" si="15"/>
        <v>0</v>
      </c>
      <c r="AM29" s="24">
        <f t="shared" si="16"/>
        <v>0</v>
      </c>
      <c r="AN29" s="27"/>
      <c r="AO29" s="27"/>
      <c r="AP29" s="77">
        <f t="shared" si="17"/>
        <v>0</v>
      </c>
      <c r="AQ29" s="27"/>
      <c r="AR29" s="27"/>
      <c r="AS29" s="77">
        <f t="shared" si="18"/>
        <v>0</v>
      </c>
      <c r="AT29" s="27"/>
      <c r="AU29" s="27"/>
      <c r="AV29" s="27"/>
      <c r="AW29" s="27"/>
      <c r="AX29" s="27"/>
      <c r="AY29" s="24"/>
      <c r="AZ29" s="24">
        <f t="shared" si="19"/>
        <v>0</v>
      </c>
      <c r="BA29" s="27"/>
      <c r="BB29" s="28">
        <f t="shared" si="20"/>
        <v>0</v>
      </c>
      <c r="BC29" s="28">
        <f t="shared" si="21"/>
        <v>0</v>
      </c>
      <c r="BD29" s="28">
        <f t="shared" si="22"/>
        <v>0</v>
      </c>
      <c r="BE29" s="28">
        <f t="shared" si="23"/>
        <v>0</v>
      </c>
      <c r="BF29" s="28">
        <f t="shared" si="24"/>
        <v>0</v>
      </c>
      <c r="BG29" s="28">
        <f t="shared" si="25"/>
        <v>0</v>
      </c>
      <c r="BH29" s="27"/>
      <c r="BI29" s="27"/>
      <c r="BJ29" s="27"/>
      <c r="BK29" s="27"/>
      <c r="BL29" s="27"/>
      <c r="BM29" s="24">
        <f t="shared" si="26"/>
        <v>0</v>
      </c>
      <c r="BN29" s="27"/>
      <c r="BO29" s="78">
        <f t="shared" si="27"/>
        <v>0</v>
      </c>
    </row>
    <row r="30" spans="1:67" ht="15.75" customHeight="1" x14ac:dyDescent="0.2">
      <c r="A30" s="73"/>
      <c r="B30" s="22"/>
      <c r="C30" s="22"/>
      <c r="D30" s="22"/>
      <c r="E30" s="23">
        <f t="shared" si="0"/>
        <v>0</v>
      </c>
      <c r="F30" s="22"/>
      <c r="G30" s="22"/>
      <c r="H30" s="23">
        <f t="shared" si="1"/>
        <v>0</v>
      </c>
      <c r="I30" s="22"/>
      <c r="J30" s="22"/>
      <c r="K30" s="74">
        <f t="shared" si="2"/>
        <v>0</v>
      </c>
      <c r="L30" s="22"/>
      <c r="M30" s="22"/>
      <c r="N30" s="75">
        <f t="shared" si="3"/>
        <v>0</v>
      </c>
      <c r="O30" s="22"/>
      <c r="P30" s="22"/>
      <c r="Q30" s="75">
        <f t="shared" si="4"/>
        <v>0</v>
      </c>
      <c r="R30" s="74">
        <f t="shared" si="5"/>
        <v>0</v>
      </c>
      <c r="S30" s="22"/>
      <c r="T30" s="22"/>
      <c r="U30" s="74">
        <f t="shared" si="6"/>
        <v>0</v>
      </c>
      <c r="V30" s="76">
        <f t="shared" ref="V30:W30" si="52">SUM(L30,O30,S30)</f>
        <v>0</v>
      </c>
      <c r="W30" s="76">
        <f t="shared" si="52"/>
        <v>0</v>
      </c>
      <c r="X30" s="77">
        <f t="shared" si="8"/>
        <v>0</v>
      </c>
      <c r="Y30" s="22"/>
      <c r="Z30" s="22"/>
      <c r="AA30" s="75">
        <f t="shared" si="9"/>
        <v>0</v>
      </c>
      <c r="AB30" s="22"/>
      <c r="AC30" s="22"/>
      <c r="AD30" s="75">
        <f t="shared" si="10"/>
        <v>0</v>
      </c>
      <c r="AE30" s="74">
        <f t="shared" si="11"/>
        <v>0</v>
      </c>
      <c r="AF30" s="22"/>
      <c r="AG30" s="22"/>
      <c r="AH30" s="74">
        <f t="shared" si="12"/>
        <v>0</v>
      </c>
      <c r="AI30" s="76">
        <f t="shared" ref="AI30:AJ30" si="53">SUM(Y30,AB30,AF30)</f>
        <v>0</v>
      </c>
      <c r="AJ30" s="76">
        <f t="shared" si="53"/>
        <v>0</v>
      </c>
      <c r="AK30" s="77">
        <f t="shared" si="14"/>
        <v>0</v>
      </c>
      <c r="AL30" s="24">
        <f t="shared" si="15"/>
        <v>0</v>
      </c>
      <c r="AM30" s="24">
        <f t="shared" si="16"/>
        <v>0</v>
      </c>
      <c r="AN30" s="27"/>
      <c r="AO30" s="27"/>
      <c r="AP30" s="77">
        <f t="shared" si="17"/>
        <v>0</v>
      </c>
      <c r="AQ30" s="27"/>
      <c r="AR30" s="27"/>
      <c r="AS30" s="77">
        <f t="shared" si="18"/>
        <v>0</v>
      </c>
      <c r="AT30" s="27"/>
      <c r="AU30" s="27"/>
      <c r="AV30" s="27"/>
      <c r="AW30" s="27"/>
      <c r="AX30" s="27"/>
      <c r="AY30" s="24"/>
      <c r="AZ30" s="24">
        <f t="shared" si="19"/>
        <v>0</v>
      </c>
      <c r="BA30" s="27"/>
      <c r="BB30" s="28">
        <f t="shared" si="20"/>
        <v>0</v>
      </c>
      <c r="BC30" s="28">
        <f t="shared" si="21"/>
        <v>0</v>
      </c>
      <c r="BD30" s="28">
        <f t="shared" si="22"/>
        <v>0</v>
      </c>
      <c r="BE30" s="28">
        <f t="shared" si="23"/>
        <v>0</v>
      </c>
      <c r="BF30" s="28">
        <f t="shared" si="24"/>
        <v>0</v>
      </c>
      <c r="BG30" s="28">
        <f t="shared" si="25"/>
        <v>0</v>
      </c>
      <c r="BH30" s="27"/>
      <c r="BI30" s="27"/>
      <c r="BJ30" s="27"/>
      <c r="BK30" s="27"/>
      <c r="BL30" s="27"/>
      <c r="BM30" s="24">
        <f t="shared" si="26"/>
        <v>0</v>
      </c>
      <c r="BN30" s="27"/>
      <c r="BO30" s="78">
        <f t="shared" si="27"/>
        <v>0</v>
      </c>
    </row>
    <row r="31" spans="1:67" ht="15.75" customHeight="1" x14ac:dyDescent="0.2">
      <c r="A31" s="73"/>
      <c r="B31" s="22"/>
      <c r="C31" s="22"/>
      <c r="D31" s="22"/>
      <c r="E31" s="23">
        <f t="shared" si="0"/>
        <v>0</v>
      </c>
      <c r="F31" s="22"/>
      <c r="G31" s="22"/>
      <c r="H31" s="23">
        <f t="shared" si="1"/>
        <v>0</v>
      </c>
      <c r="I31" s="22"/>
      <c r="J31" s="22"/>
      <c r="K31" s="74">
        <f t="shared" si="2"/>
        <v>0</v>
      </c>
      <c r="L31" s="22"/>
      <c r="M31" s="22"/>
      <c r="N31" s="75">
        <f t="shared" si="3"/>
        <v>0</v>
      </c>
      <c r="O31" s="22"/>
      <c r="P31" s="22"/>
      <c r="Q31" s="75">
        <f t="shared" si="4"/>
        <v>0</v>
      </c>
      <c r="R31" s="74">
        <f t="shared" si="5"/>
        <v>0</v>
      </c>
      <c r="S31" s="22"/>
      <c r="T31" s="22"/>
      <c r="U31" s="74">
        <f t="shared" si="6"/>
        <v>0</v>
      </c>
      <c r="V31" s="76">
        <f t="shared" ref="V31:W31" si="54">SUM(L31,O31,S31)</f>
        <v>0</v>
      </c>
      <c r="W31" s="76">
        <f t="shared" si="54"/>
        <v>0</v>
      </c>
      <c r="X31" s="77">
        <f t="shared" si="8"/>
        <v>0</v>
      </c>
      <c r="Y31" s="22"/>
      <c r="Z31" s="22"/>
      <c r="AA31" s="75">
        <f t="shared" si="9"/>
        <v>0</v>
      </c>
      <c r="AB31" s="22"/>
      <c r="AC31" s="22"/>
      <c r="AD31" s="75">
        <f t="shared" si="10"/>
        <v>0</v>
      </c>
      <c r="AE31" s="74">
        <f t="shared" si="11"/>
        <v>0</v>
      </c>
      <c r="AF31" s="22"/>
      <c r="AG31" s="22"/>
      <c r="AH31" s="74">
        <f t="shared" si="12"/>
        <v>0</v>
      </c>
      <c r="AI31" s="76">
        <f t="shared" ref="AI31:AJ31" si="55">SUM(Y31,AB31,AF31)</f>
        <v>0</v>
      </c>
      <c r="AJ31" s="76">
        <f t="shared" si="55"/>
        <v>0</v>
      </c>
      <c r="AK31" s="77">
        <f t="shared" si="14"/>
        <v>0</v>
      </c>
      <c r="AL31" s="24">
        <f t="shared" si="15"/>
        <v>0</v>
      </c>
      <c r="AM31" s="24">
        <f t="shared" si="16"/>
        <v>0</v>
      </c>
      <c r="AN31" s="27"/>
      <c r="AO31" s="27"/>
      <c r="AP31" s="77">
        <f t="shared" si="17"/>
        <v>0</v>
      </c>
      <c r="AQ31" s="27"/>
      <c r="AR31" s="27"/>
      <c r="AS31" s="77">
        <f t="shared" si="18"/>
        <v>0</v>
      </c>
      <c r="AT31" s="27"/>
      <c r="AU31" s="27"/>
      <c r="AV31" s="27"/>
      <c r="AW31" s="27"/>
      <c r="AX31" s="27"/>
      <c r="AY31" s="24"/>
      <c r="AZ31" s="24">
        <f t="shared" si="19"/>
        <v>0</v>
      </c>
      <c r="BA31" s="27"/>
      <c r="BB31" s="28">
        <f t="shared" si="20"/>
        <v>0</v>
      </c>
      <c r="BC31" s="28">
        <f t="shared" si="21"/>
        <v>0</v>
      </c>
      <c r="BD31" s="28">
        <f t="shared" si="22"/>
        <v>0</v>
      </c>
      <c r="BE31" s="28">
        <f t="shared" si="23"/>
        <v>0</v>
      </c>
      <c r="BF31" s="28">
        <f t="shared" si="24"/>
        <v>0</v>
      </c>
      <c r="BG31" s="28">
        <f t="shared" si="25"/>
        <v>0</v>
      </c>
      <c r="BH31" s="27"/>
      <c r="BI31" s="27"/>
      <c r="BJ31" s="27"/>
      <c r="BK31" s="27"/>
      <c r="BL31" s="27"/>
      <c r="BM31" s="24">
        <f t="shared" si="26"/>
        <v>0</v>
      </c>
      <c r="BN31" s="27"/>
      <c r="BO31" s="78">
        <f t="shared" si="27"/>
        <v>0</v>
      </c>
    </row>
    <row r="32" spans="1:67" ht="15.75" customHeight="1" x14ac:dyDescent="0.2">
      <c r="A32" s="73"/>
      <c r="B32" s="22"/>
      <c r="C32" s="22"/>
      <c r="D32" s="22"/>
      <c r="E32" s="23">
        <f t="shared" si="0"/>
        <v>0</v>
      </c>
      <c r="F32" s="22"/>
      <c r="G32" s="22"/>
      <c r="H32" s="23">
        <f t="shared" si="1"/>
        <v>0</v>
      </c>
      <c r="I32" s="22"/>
      <c r="J32" s="22"/>
      <c r="K32" s="74">
        <f t="shared" si="2"/>
        <v>0</v>
      </c>
      <c r="L32" s="22"/>
      <c r="M32" s="22"/>
      <c r="N32" s="75">
        <f t="shared" si="3"/>
        <v>0</v>
      </c>
      <c r="O32" s="22"/>
      <c r="P32" s="22"/>
      <c r="Q32" s="75">
        <f t="shared" si="4"/>
        <v>0</v>
      </c>
      <c r="R32" s="74">
        <f t="shared" si="5"/>
        <v>0</v>
      </c>
      <c r="S32" s="22"/>
      <c r="T32" s="22"/>
      <c r="U32" s="74">
        <f t="shared" si="6"/>
        <v>0</v>
      </c>
      <c r="V32" s="76">
        <f t="shared" ref="V32:W32" si="56">SUM(L32,O32,S32)</f>
        <v>0</v>
      </c>
      <c r="W32" s="76">
        <f t="shared" si="56"/>
        <v>0</v>
      </c>
      <c r="X32" s="77">
        <f t="shared" si="8"/>
        <v>0</v>
      </c>
      <c r="Y32" s="22"/>
      <c r="Z32" s="22"/>
      <c r="AA32" s="75">
        <f t="shared" si="9"/>
        <v>0</v>
      </c>
      <c r="AB32" s="22"/>
      <c r="AC32" s="22"/>
      <c r="AD32" s="75">
        <f t="shared" si="10"/>
        <v>0</v>
      </c>
      <c r="AE32" s="74">
        <f t="shared" si="11"/>
        <v>0</v>
      </c>
      <c r="AF32" s="22"/>
      <c r="AG32" s="22"/>
      <c r="AH32" s="74">
        <f t="shared" si="12"/>
        <v>0</v>
      </c>
      <c r="AI32" s="76">
        <f t="shared" ref="AI32:AJ32" si="57">SUM(Y32,AB32,AF32)</f>
        <v>0</v>
      </c>
      <c r="AJ32" s="76">
        <f t="shared" si="57"/>
        <v>0</v>
      </c>
      <c r="AK32" s="77">
        <f t="shared" si="14"/>
        <v>0</v>
      </c>
      <c r="AL32" s="24">
        <f t="shared" si="15"/>
        <v>0</v>
      </c>
      <c r="AM32" s="24">
        <f t="shared" si="16"/>
        <v>0</v>
      </c>
      <c r="AN32" s="27"/>
      <c r="AO32" s="27"/>
      <c r="AP32" s="77">
        <f t="shared" si="17"/>
        <v>0</v>
      </c>
      <c r="AQ32" s="27"/>
      <c r="AR32" s="27"/>
      <c r="AS32" s="77">
        <f t="shared" si="18"/>
        <v>0</v>
      </c>
      <c r="AT32" s="27"/>
      <c r="AU32" s="27"/>
      <c r="AV32" s="27"/>
      <c r="AW32" s="27"/>
      <c r="AX32" s="27"/>
      <c r="AY32" s="24"/>
      <c r="AZ32" s="24">
        <f t="shared" si="19"/>
        <v>0</v>
      </c>
      <c r="BA32" s="27"/>
      <c r="BB32" s="28">
        <f t="shared" si="20"/>
        <v>0</v>
      </c>
      <c r="BC32" s="28">
        <f t="shared" si="21"/>
        <v>0</v>
      </c>
      <c r="BD32" s="28">
        <f t="shared" si="22"/>
        <v>0</v>
      </c>
      <c r="BE32" s="28">
        <f t="shared" si="23"/>
        <v>0</v>
      </c>
      <c r="BF32" s="28">
        <f t="shared" si="24"/>
        <v>0</v>
      </c>
      <c r="BG32" s="28">
        <f t="shared" si="25"/>
        <v>0</v>
      </c>
      <c r="BH32" s="27"/>
      <c r="BI32" s="27"/>
      <c r="BJ32" s="27"/>
      <c r="BK32" s="27"/>
      <c r="BL32" s="27"/>
      <c r="BM32" s="24">
        <f t="shared" si="26"/>
        <v>0</v>
      </c>
      <c r="BN32" s="27"/>
      <c r="BO32" s="78">
        <f t="shared" si="27"/>
        <v>0</v>
      </c>
    </row>
    <row r="33" spans="1:67" ht="15" customHeight="1" x14ac:dyDescent="0.2">
      <c r="A33" s="73"/>
      <c r="B33" s="22"/>
      <c r="C33" s="22"/>
      <c r="D33" s="22"/>
      <c r="E33" s="23">
        <f t="shared" si="0"/>
        <v>0</v>
      </c>
      <c r="F33" s="22"/>
      <c r="G33" s="22"/>
      <c r="H33" s="23">
        <f t="shared" si="1"/>
        <v>0</v>
      </c>
      <c r="I33" s="22"/>
      <c r="J33" s="22"/>
      <c r="K33" s="74">
        <f t="shared" si="2"/>
        <v>0</v>
      </c>
      <c r="L33" s="22"/>
      <c r="M33" s="22"/>
      <c r="N33" s="75">
        <f t="shared" si="3"/>
        <v>0</v>
      </c>
      <c r="O33" s="22"/>
      <c r="P33" s="22"/>
      <c r="Q33" s="75">
        <f t="shared" si="4"/>
        <v>0</v>
      </c>
      <c r="R33" s="74">
        <f t="shared" si="5"/>
        <v>0</v>
      </c>
      <c r="S33" s="22"/>
      <c r="T33" s="22"/>
      <c r="U33" s="74">
        <f t="shared" si="6"/>
        <v>0</v>
      </c>
      <c r="V33" s="76">
        <f t="shared" ref="V33:W33" si="58">SUM(L33,O33,S33)</f>
        <v>0</v>
      </c>
      <c r="W33" s="76">
        <f t="shared" si="58"/>
        <v>0</v>
      </c>
      <c r="X33" s="77">
        <f t="shared" si="8"/>
        <v>0</v>
      </c>
      <c r="Y33" s="22"/>
      <c r="Z33" s="22"/>
      <c r="AA33" s="75">
        <f t="shared" si="9"/>
        <v>0</v>
      </c>
      <c r="AB33" s="22"/>
      <c r="AC33" s="22"/>
      <c r="AD33" s="75">
        <f t="shared" si="10"/>
        <v>0</v>
      </c>
      <c r="AE33" s="74">
        <f t="shared" si="11"/>
        <v>0</v>
      </c>
      <c r="AF33" s="22"/>
      <c r="AG33" s="22"/>
      <c r="AH33" s="74">
        <f t="shared" si="12"/>
        <v>0</v>
      </c>
      <c r="AI33" s="76">
        <f t="shared" ref="AI33:AJ33" si="59">SUM(Y33,AB33,AF33)</f>
        <v>0</v>
      </c>
      <c r="AJ33" s="76">
        <f t="shared" si="59"/>
        <v>0</v>
      </c>
      <c r="AK33" s="77">
        <f t="shared" si="14"/>
        <v>0</v>
      </c>
      <c r="AL33" s="24">
        <f t="shared" si="15"/>
        <v>0</v>
      </c>
      <c r="AM33" s="24">
        <f t="shared" si="16"/>
        <v>0</v>
      </c>
      <c r="AN33" s="27"/>
      <c r="AO33" s="27"/>
      <c r="AP33" s="77">
        <f t="shared" si="17"/>
        <v>0</v>
      </c>
      <c r="AQ33" s="27"/>
      <c r="AR33" s="27"/>
      <c r="AS33" s="77">
        <f t="shared" si="18"/>
        <v>0</v>
      </c>
      <c r="AT33" s="27"/>
      <c r="AU33" s="27"/>
      <c r="AV33" s="27"/>
      <c r="AW33" s="27"/>
      <c r="AX33" s="27"/>
      <c r="AY33" s="24"/>
      <c r="AZ33" s="24">
        <f t="shared" si="19"/>
        <v>0</v>
      </c>
      <c r="BA33" s="27"/>
      <c r="BB33" s="28">
        <f t="shared" si="20"/>
        <v>0</v>
      </c>
      <c r="BC33" s="28">
        <f t="shared" si="21"/>
        <v>0</v>
      </c>
      <c r="BD33" s="28">
        <f t="shared" si="22"/>
        <v>0</v>
      </c>
      <c r="BE33" s="28">
        <f t="shared" si="23"/>
        <v>0</v>
      </c>
      <c r="BF33" s="28">
        <f t="shared" si="24"/>
        <v>0</v>
      </c>
      <c r="BG33" s="28">
        <f t="shared" si="25"/>
        <v>0</v>
      </c>
      <c r="BH33" s="27"/>
      <c r="BI33" s="27"/>
      <c r="BJ33" s="27"/>
      <c r="BK33" s="27"/>
      <c r="BL33" s="27"/>
      <c r="BM33" s="24">
        <f t="shared" si="26"/>
        <v>0</v>
      </c>
      <c r="BN33" s="27"/>
      <c r="BO33" s="78">
        <f t="shared" si="27"/>
        <v>0</v>
      </c>
    </row>
    <row r="34" spans="1:67" ht="15.75" customHeight="1" x14ac:dyDescent="0.2">
      <c r="A34" s="73"/>
      <c r="B34" s="22"/>
      <c r="C34" s="22"/>
      <c r="D34" s="22"/>
      <c r="E34" s="23">
        <f t="shared" si="0"/>
        <v>0</v>
      </c>
      <c r="F34" s="22"/>
      <c r="G34" s="22"/>
      <c r="H34" s="23">
        <f t="shared" si="1"/>
        <v>0</v>
      </c>
      <c r="I34" s="22"/>
      <c r="J34" s="22"/>
      <c r="K34" s="74">
        <f t="shared" si="2"/>
        <v>0</v>
      </c>
      <c r="L34" s="22"/>
      <c r="M34" s="22"/>
      <c r="N34" s="75">
        <f t="shared" si="3"/>
        <v>0</v>
      </c>
      <c r="O34" s="22"/>
      <c r="P34" s="22"/>
      <c r="Q34" s="75">
        <f t="shared" si="4"/>
        <v>0</v>
      </c>
      <c r="R34" s="74">
        <f t="shared" si="5"/>
        <v>0</v>
      </c>
      <c r="S34" s="22"/>
      <c r="T34" s="22"/>
      <c r="U34" s="74">
        <f t="shared" si="6"/>
        <v>0</v>
      </c>
      <c r="V34" s="76">
        <f t="shared" ref="V34:W34" si="60">SUM(L34,O34,S34)</f>
        <v>0</v>
      </c>
      <c r="W34" s="76">
        <f t="shared" si="60"/>
        <v>0</v>
      </c>
      <c r="X34" s="77">
        <f t="shared" si="8"/>
        <v>0</v>
      </c>
      <c r="Y34" s="22"/>
      <c r="Z34" s="22"/>
      <c r="AA34" s="75">
        <f t="shared" si="9"/>
        <v>0</v>
      </c>
      <c r="AB34" s="22"/>
      <c r="AC34" s="22"/>
      <c r="AD34" s="75">
        <f t="shared" si="10"/>
        <v>0</v>
      </c>
      <c r="AE34" s="74">
        <f t="shared" si="11"/>
        <v>0</v>
      </c>
      <c r="AF34" s="22"/>
      <c r="AG34" s="22"/>
      <c r="AH34" s="74">
        <f t="shared" si="12"/>
        <v>0</v>
      </c>
      <c r="AI34" s="76">
        <f t="shared" ref="AI34:AJ34" si="61">SUM(Y34,AB34,AF34)</f>
        <v>0</v>
      </c>
      <c r="AJ34" s="76">
        <f t="shared" si="61"/>
        <v>0</v>
      </c>
      <c r="AK34" s="77">
        <f t="shared" si="14"/>
        <v>0</v>
      </c>
      <c r="AL34" s="24">
        <f t="shared" si="15"/>
        <v>0</v>
      </c>
      <c r="AM34" s="24">
        <f t="shared" si="16"/>
        <v>0</v>
      </c>
      <c r="AN34" s="27"/>
      <c r="AO34" s="27"/>
      <c r="AP34" s="77">
        <f t="shared" si="17"/>
        <v>0</v>
      </c>
      <c r="AQ34" s="27"/>
      <c r="AR34" s="27"/>
      <c r="AS34" s="77">
        <f t="shared" si="18"/>
        <v>0</v>
      </c>
      <c r="AT34" s="27"/>
      <c r="AU34" s="27"/>
      <c r="AV34" s="27"/>
      <c r="AW34" s="27"/>
      <c r="AX34" s="27"/>
      <c r="AY34" s="24"/>
      <c r="AZ34" s="24">
        <f t="shared" si="19"/>
        <v>0</v>
      </c>
      <c r="BA34" s="27"/>
      <c r="BB34" s="28">
        <f t="shared" si="20"/>
        <v>0</v>
      </c>
      <c r="BC34" s="28">
        <f t="shared" si="21"/>
        <v>0</v>
      </c>
      <c r="BD34" s="28">
        <f t="shared" si="22"/>
        <v>0</v>
      </c>
      <c r="BE34" s="28">
        <f t="shared" si="23"/>
        <v>0</v>
      </c>
      <c r="BF34" s="28">
        <f t="shared" si="24"/>
        <v>0</v>
      </c>
      <c r="BG34" s="28">
        <f t="shared" si="25"/>
        <v>0</v>
      </c>
      <c r="BH34" s="27"/>
      <c r="BI34" s="27"/>
      <c r="BJ34" s="27"/>
      <c r="BK34" s="27"/>
      <c r="BL34" s="27"/>
      <c r="BM34" s="24">
        <f t="shared" si="26"/>
        <v>0</v>
      </c>
      <c r="BN34" s="27"/>
      <c r="BO34" s="78">
        <f t="shared" si="27"/>
        <v>0</v>
      </c>
    </row>
    <row r="35" spans="1:67" ht="15.75" customHeight="1" x14ac:dyDescent="0.2">
      <c r="A35" s="73"/>
      <c r="B35" s="27"/>
      <c r="C35" s="27"/>
      <c r="D35" s="27"/>
      <c r="E35" s="23">
        <f t="shared" si="0"/>
        <v>0</v>
      </c>
      <c r="F35" s="27"/>
      <c r="G35" s="27"/>
      <c r="H35" s="23">
        <f t="shared" si="1"/>
        <v>0</v>
      </c>
      <c r="I35" s="27"/>
      <c r="J35" s="27"/>
      <c r="K35" s="74">
        <f t="shared" si="2"/>
        <v>0</v>
      </c>
      <c r="L35" s="22"/>
      <c r="M35" s="22"/>
      <c r="N35" s="75">
        <f t="shared" si="3"/>
        <v>0</v>
      </c>
      <c r="O35" s="22"/>
      <c r="P35" s="22"/>
      <c r="Q35" s="75">
        <f t="shared" si="4"/>
        <v>0</v>
      </c>
      <c r="R35" s="74">
        <f t="shared" si="5"/>
        <v>0</v>
      </c>
      <c r="S35" s="22"/>
      <c r="T35" s="22"/>
      <c r="U35" s="74">
        <f t="shared" si="6"/>
        <v>0</v>
      </c>
      <c r="V35" s="76">
        <f t="shared" ref="V35:W35" si="62">SUM(L35,O35,S35)</f>
        <v>0</v>
      </c>
      <c r="W35" s="76">
        <f t="shared" si="62"/>
        <v>0</v>
      </c>
      <c r="X35" s="77">
        <f t="shared" si="8"/>
        <v>0</v>
      </c>
      <c r="Y35" s="22"/>
      <c r="Z35" s="22"/>
      <c r="AA35" s="75">
        <f t="shared" si="9"/>
        <v>0</v>
      </c>
      <c r="AB35" s="22"/>
      <c r="AC35" s="22"/>
      <c r="AD35" s="75">
        <f t="shared" si="10"/>
        <v>0</v>
      </c>
      <c r="AE35" s="74">
        <f t="shared" si="11"/>
        <v>0</v>
      </c>
      <c r="AF35" s="22"/>
      <c r="AG35" s="22"/>
      <c r="AH35" s="74">
        <f t="shared" si="12"/>
        <v>0</v>
      </c>
      <c r="AI35" s="76">
        <f t="shared" ref="AI35:AJ35" si="63">SUM(Y35,AB35,AF35)</f>
        <v>0</v>
      </c>
      <c r="AJ35" s="76">
        <f t="shared" si="63"/>
        <v>0</v>
      </c>
      <c r="AK35" s="77">
        <f t="shared" si="14"/>
        <v>0</v>
      </c>
      <c r="AL35" s="24">
        <f t="shared" si="15"/>
        <v>0</v>
      </c>
      <c r="AM35" s="24">
        <f t="shared" si="16"/>
        <v>0</v>
      </c>
      <c r="AN35" s="27"/>
      <c r="AO35" s="27"/>
      <c r="AP35" s="77">
        <f t="shared" si="17"/>
        <v>0</v>
      </c>
      <c r="AQ35" s="27"/>
      <c r="AR35" s="27"/>
      <c r="AS35" s="77">
        <f t="shared" si="18"/>
        <v>0</v>
      </c>
      <c r="AT35" s="27"/>
      <c r="AU35" s="27"/>
      <c r="AV35" s="27"/>
      <c r="AW35" s="27"/>
      <c r="AX35" s="27"/>
      <c r="AY35" s="24"/>
      <c r="AZ35" s="24">
        <f t="shared" si="19"/>
        <v>0</v>
      </c>
      <c r="BA35" s="27"/>
      <c r="BB35" s="28">
        <f t="shared" si="20"/>
        <v>0</v>
      </c>
      <c r="BC35" s="28">
        <f t="shared" si="21"/>
        <v>0</v>
      </c>
      <c r="BD35" s="28">
        <f t="shared" si="22"/>
        <v>0</v>
      </c>
      <c r="BE35" s="28">
        <f t="shared" si="23"/>
        <v>0</v>
      </c>
      <c r="BF35" s="28">
        <f t="shared" si="24"/>
        <v>0</v>
      </c>
      <c r="BG35" s="28">
        <f t="shared" si="25"/>
        <v>0</v>
      </c>
      <c r="BH35" s="27"/>
      <c r="BI35" s="27"/>
      <c r="BJ35" s="27"/>
      <c r="BK35" s="27"/>
      <c r="BL35" s="27"/>
      <c r="BM35" s="24">
        <f t="shared" si="26"/>
        <v>0</v>
      </c>
      <c r="BN35" s="27"/>
      <c r="BO35" s="78">
        <f t="shared" si="27"/>
        <v>0</v>
      </c>
    </row>
    <row r="36" spans="1:67" ht="15.75" customHeight="1" x14ac:dyDescent="0.2">
      <c r="A36" s="73"/>
      <c r="B36" s="22"/>
      <c r="C36" s="22"/>
      <c r="D36" s="22"/>
      <c r="E36" s="23">
        <f>SUM(C36:D36)</f>
        <v>0</v>
      </c>
      <c r="F36" s="22"/>
      <c r="G36" s="22"/>
      <c r="H36" s="23">
        <f t="shared" si="1"/>
        <v>0</v>
      </c>
      <c r="I36" s="22"/>
      <c r="J36" s="22"/>
      <c r="K36" s="74">
        <f t="shared" si="2"/>
        <v>0</v>
      </c>
      <c r="L36" s="22"/>
      <c r="M36" s="22"/>
      <c r="N36" s="75">
        <f t="shared" si="3"/>
        <v>0</v>
      </c>
      <c r="O36" s="22"/>
      <c r="P36" s="22"/>
      <c r="Q36" s="75">
        <f t="shared" si="4"/>
        <v>0</v>
      </c>
      <c r="R36" s="74">
        <f t="shared" si="5"/>
        <v>0</v>
      </c>
      <c r="S36" s="22"/>
      <c r="T36" s="22"/>
      <c r="U36" s="74">
        <f t="shared" si="6"/>
        <v>0</v>
      </c>
      <c r="V36" s="76">
        <f t="shared" ref="V36:W36" si="64">SUM(L36,O36,S36)</f>
        <v>0</v>
      </c>
      <c r="W36" s="76">
        <f t="shared" si="64"/>
        <v>0</v>
      </c>
      <c r="X36" s="77">
        <f t="shared" si="8"/>
        <v>0</v>
      </c>
      <c r="Y36" s="22"/>
      <c r="Z36" s="22"/>
      <c r="AA36" s="75">
        <f t="shared" si="9"/>
        <v>0</v>
      </c>
      <c r="AB36" s="22"/>
      <c r="AC36" s="22"/>
      <c r="AD36" s="75">
        <f t="shared" si="10"/>
        <v>0</v>
      </c>
      <c r="AE36" s="74">
        <f t="shared" si="11"/>
        <v>0</v>
      </c>
      <c r="AF36" s="22"/>
      <c r="AG36" s="22"/>
      <c r="AH36" s="74">
        <f t="shared" si="12"/>
        <v>0</v>
      </c>
      <c r="AI36" s="76">
        <f t="shared" ref="AI36:AJ36" si="65">SUM(Y36,AB36,AF36)</f>
        <v>0</v>
      </c>
      <c r="AJ36" s="76">
        <f t="shared" si="65"/>
        <v>0</v>
      </c>
      <c r="AK36" s="77">
        <f t="shared" si="14"/>
        <v>0</v>
      </c>
      <c r="AL36" s="24">
        <f t="shared" si="15"/>
        <v>0</v>
      </c>
      <c r="AM36" s="24">
        <f t="shared" si="16"/>
        <v>0</v>
      </c>
      <c r="AN36" s="27"/>
      <c r="AO36" s="27"/>
      <c r="AP36" s="77">
        <f t="shared" si="17"/>
        <v>0</v>
      </c>
      <c r="AQ36" s="27"/>
      <c r="AR36" s="27"/>
      <c r="AS36" s="77">
        <f t="shared" si="18"/>
        <v>0</v>
      </c>
      <c r="AT36" s="27"/>
      <c r="AU36" s="27"/>
      <c r="AV36" s="27"/>
      <c r="AW36" s="27"/>
      <c r="AX36" s="27"/>
      <c r="AY36" s="24"/>
      <c r="AZ36" s="24">
        <f t="shared" si="19"/>
        <v>0</v>
      </c>
      <c r="BA36" s="27"/>
      <c r="BB36" s="28">
        <f t="shared" si="20"/>
        <v>0</v>
      </c>
      <c r="BC36" s="28">
        <f t="shared" si="21"/>
        <v>0</v>
      </c>
      <c r="BD36" s="28">
        <f t="shared" si="22"/>
        <v>0</v>
      </c>
      <c r="BE36" s="28">
        <f t="shared" si="23"/>
        <v>0</v>
      </c>
      <c r="BF36" s="28">
        <f t="shared" si="24"/>
        <v>0</v>
      </c>
      <c r="BG36" s="28">
        <f t="shared" si="25"/>
        <v>0</v>
      </c>
      <c r="BH36" s="27"/>
      <c r="BI36" s="27"/>
      <c r="BJ36" s="27"/>
      <c r="BK36" s="27"/>
      <c r="BL36" s="27"/>
      <c r="BM36" s="24">
        <f t="shared" si="26"/>
        <v>0</v>
      </c>
      <c r="BN36" s="27"/>
      <c r="BO36" s="78">
        <f t="shared" si="27"/>
        <v>0</v>
      </c>
    </row>
    <row r="37" spans="1:67" ht="15.75" customHeight="1" x14ac:dyDescent="0.2">
      <c r="A37" s="79" t="s">
        <v>54</v>
      </c>
      <c r="B37" s="80">
        <f t="shared" ref="B37:AU37" si="66">SUM(B17:B36)</f>
        <v>0</v>
      </c>
      <c r="C37" s="80">
        <f t="shared" si="66"/>
        <v>0</v>
      </c>
      <c r="D37" s="80">
        <f t="shared" si="66"/>
        <v>0</v>
      </c>
      <c r="E37" s="81">
        <f t="shared" si="66"/>
        <v>0</v>
      </c>
      <c r="F37" s="80">
        <f t="shared" si="66"/>
        <v>0</v>
      </c>
      <c r="G37" s="80">
        <f t="shared" si="66"/>
        <v>0</v>
      </c>
      <c r="H37" s="81">
        <f t="shared" si="66"/>
        <v>0</v>
      </c>
      <c r="I37" s="80">
        <f t="shared" si="66"/>
        <v>0</v>
      </c>
      <c r="J37" s="80">
        <f t="shared" si="66"/>
        <v>0</v>
      </c>
      <c r="K37" s="82">
        <f t="shared" si="66"/>
        <v>0</v>
      </c>
      <c r="L37" s="80">
        <f t="shared" si="66"/>
        <v>0</v>
      </c>
      <c r="M37" s="80">
        <f t="shared" si="66"/>
        <v>0</v>
      </c>
      <c r="N37" s="83">
        <f t="shared" si="66"/>
        <v>0</v>
      </c>
      <c r="O37" s="80">
        <f t="shared" si="66"/>
        <v>0</v>
      </c>
      <c r="P37" s="80">
        <f t="shared" si="66"/>
        <v>0</v>
      </c>
      <c r="Q37" s="83">
        <f t="shared" si="66"/>
        <v>0</v>
      </c>
      <c r="R37" s="82">
        <f t="shared" si="66"/>
        <v>0</v>
      </c>
      <c r="S37" s="80">
        <f t="shared" si="66"/>
        <v>0</v>
      </c>
      <c r="T37" s="80">
        <f t="shared" si="66"/>
        <v>0</v>
      </c>
      <c r="U37" s="82">
        <f t="shared" si="66"/>
        <v>0</v>
      </c>
      <c r="V37" s="83">
        <f t="shared" si="66"/>
        <v>0</v>
      </c>
      <c r="W37" s="83">
        <f t="shared" si="66"/>
        <v>0</v>
      </c>
      <c r="X37" s="82">
        <f t="shared" si="66"/>
        <v>0</v>
      </c>
      <c r="Y37" s="80">
        <f t="shared" si="66"/>
        <v>0</v>
      </c>
      <c r="Z37" s="80">
        <f t="shared" si="66"/>
        <v>0</v>
      </c>
      <c r="AA37" s="83">
        <f t="shared" si="66"/>
        <v>0</v>
      </c>
      <c r="AB37" s="80">
        <f t="shared" si="66"/>
        <v>0</v>
      </c>
      <c r="AC37" s="80">
        <f t="shared" si="66"/>
        <v>0</v>
      </c>
      <c r="AD37" s="83">
        <f t="shared" si="66"/>
        <v>0</v>
      </c>
      <c r="AE37" s="82">
        <f t="shared" si="66"/>
        <v>0</v>
      </c>
      <c r="AF37" s="80">
        <f t="shared" si="66"/>
        <v>0</v>
      </c>
      <c r="AG37" s="80">
        <f t="shared" si="66"/>
        <v>0</v>
      </c>
      <c r="AH37" s="82">
        <f t="shared" si="66"/>
        <v>0</v>
      </c>
      <c r="AI37" s="83">
        <f t="shared" si="66"/>
        <v>0</v>
      </c>
      <c r="AJ37" s="83">
        <f t="shared" si="66"/>
        <v>0</v>
      </c>
      <c r="AK37" s="82">
        <f t="shared" si="66"/>
        <v>0</v>
      </c>
      <c r="AL37" s="81">
        <f t="shared" si="66"/>
        <v>0</v>
      </c>
      <c r="AM37" s="81">
        <f t="shared" si="66"/>
        <v>0</v>
      </c>
      <c r="AN37" s="80">
        <f t="shared" si="66"/>
        <v>0</v>
      </c>
      <c r="AO37" s="80">
        <f t="shared" si="66"/>
        <v>0</v>
      </c>
      <c r="AP37" s="82">
        <f t="shared" si="66"/>
        <v>0</v>
      </c>
      <c r="AQ37" s="80">
        <f t="shared" si="66"/>
        <v>0</v>
      </c>
      <c r="AR37" s="80">
        <f t="shared" si="66"/>
        <v>0</v>
      </c>
      <c r="AS37" s="82">
        <f t="shared" si="66"/>
        <v>0</v>
      </c>
      <c r="AT37" s="80">
        <f t="shared" si="66"/>
        <v>0</v>
      </c>
      <c r="AU37" s="80">
        <f t="shared" si="66"/>
        <v>0</v>
      </c>
      <c r="AV37" s="80"/>
      <c r="AW37" s="80">
        <f t="shared" ref="AW37:AX37" si="67">SUM(AW17:AW36)</f>
        <v>0</v>
      </c>
      <c r="AX37" s="80">
        <f t="shared" si="67"/>
        <v>0</v>
      </c>
      <c r="AY37" s="81"/>
      <c r="AZ37" s="81">
        <f t="shared" ref="AZ37:BA37" si="68">SUM(AZ17:AZ36)</f>
        <v>0</v>
      </c>
      <c r="BA37" s="81">
        <f t="shared" si="68"/>
        <v>0</v>
      </c>
      <c r="BB37" s="84">
        <f t="shared" si="20"/>
        <v>0</v>
      </c>
      <c r="BC37" s="84">
        <f t="shared" si="21"/>
        <v>0</v>
      </c>
      <c r="BD37" s="84">
        <f t="shared" si="22"/>
        <v>0</v>
      </c>
      <c r="BE37" s="84">
        <f t="shared" si="23"/>
        <v>0</v>
      </c>
      <c r="BF37" s="84">
        <f t="shared" si="24"/>
        <v>0</v>
      </c>
      <c r="BG37" s="84">
        <f t="shared" si="25"/>
        <v>0</v>
      </c>
      <c r="BH37" s="80">
        <f t="shared" ref="BH37:BI37" si="69">SUM(BH17:BH36)</f>
        <v>0</v>
      </c>
      <c r="BI37" s="80">
        <f t="shared" si="69"/>
        <v>0</v>
      </c>
      <c r="BJ37" s="80"/>
      <c r="BK37" s="80"/>
      <c r="BL37" s="80"/>
      <c r="BM37" s="80">
        <f t="shared" ref="BM37:BN37" si="70">SUM(BM17:BM36)</f>
        <v>0</v>
      </c>
      <c r="BN37" s="80">
        <f t="shared" si="70"/>
        <v>0</v>
      </c>
      <c r="BO37" s="85">
        <f t="shared" si="27"/>
        <v>0</v>
      </c>
    </row>
    <row r="38" spans="1:67" ht="15.75" customHeight="1" x14ac:dyDescent="0.2">
      <c r="A38" s="51"/>
      <c r="B38" s="4"/>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row>
    <row r="39" spans="1:67" ht="15.75" customHeight="1" x14ac:dyDescent="0.2">
      <c r="A39" s="103" t="s">
        <v>55</v>
      </c>
      <c r="B39" s="4">
        <v>1</v>
      </c>
      <c r="C39" s="53" t="str">
        <f ca="1">IFERROR(__xludf.DUMMYFUNCTION("IF(
  COUNTUNIQUE($E$37,$H$37,$AM$37,$BM$37)=1,
  ""✅ Totals of sex, age, animal bite cases, and biting animals match"",
  ""❌ Totals of sex, age, animal bite cases, and biting animals DO NOT match. Please recheck the data.""
)
"),"✅ Totals of sex, age, animal bite cases, and biting animals match")</f>
        <v>✅ Totals of sex, age, animal bite cases, and biting animals match</v>
      </c>
      <c r="D39" s="52"/>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row>
    <row r="40" spans="1:67" ht="15.75" customHeight="1" x14ac:dyDescent="0.2">
      <c r="A40" s="88"/>
      <c r="B40" s="4">
        <v>2</v>
      </c>
      <c r="C40" s="53" t="str">
        <f>IF(
  SUMPRODUCT(--(BB17:BG37&gt;1))=0,
  "✅ PEP Coverage ≤100%",
  "❌ PEP Coverage cannot exceed 100%. "&amp;SUMPRODUCT(--(BB17:BG37&gt;1))&amp;" cell(s) exceed 100%. Please recheck the data."
)</f>
        <v>✅ PEP Coverage ≤100%</v>
      </c>
      <c r="D40" s="52"/>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2"/>
    </row>
    <row r="41" spans="1:67" ht="15.75" customHeight="1" x14ac:dyDescent="0.2">
      <c r="A41" s="131" t="s">
        <v>96</v>
      </c>
      <c r="B41" s="88"/>
      <c r="C41" s="88"/>
      <c r="D41" s="88"/>
      <c r="E41" s="88"/>
      <c r="F41" s="88"/>
      <c r="G41" s="88"/>
      <c r="H41" s="88"/>
      <c r="I41" s="88"/>
      <c r="J41" s="88"/>
      <c r="K41" s="88"/>
      <c r="L41" s="88"/>
      <c r="M41" s="88"/>
      <c r="N41" s="88"/>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54"/>
      <c r="AO41" s="54"/>
      <c r="AP41" s="87" t="s">
        <v>97</v>
      </c>
      <c r="AQ41" s="88"/>
      <c r="AR41" s="88"/>
      <c r="AS41" s="88"/>
      <c r="AT41" s="88"/>
      <c r="AU41" s="88"/>
      <c r="AV41" s="88"/>
      <c r="AW41" s="88"/>
      <c r="AX41" s="88"/>
      <c r="AY41" s="88"/>
      <c r="AZ41" s="88"/>
      <c r="BA41" s="88"/>
      <c r="BB41" s="87" t="s">
        <v>98</v>
      </c>
      <c r="BC41" s="88"/>
      <c r="BD41" s="88"/>
      <c r="BE41" s="88"/>
      <c r="BF41" s="88"/>
      <c r="BG41" s="88"/>
      <c r="BH41" s="87" t="s">
        <v>99</v>
      </c>
      <c r="BI41" s="88"/>
      <c r="BJ41" s="88"/>
      <c r="BK41" s="88"/>
      <c r="BL41" s="88"/>
      <c r="BM41" s="88"/>
      <c r="BN41" s="88"/>
      <c r="BO41" s="88"/>
    </row>
    <row r="42" spans="1:67" ht="15.75" customHeight="1" x14ac:dyDescent="0.2"/>
    <row r="43" spans="1:67" ht="15.75" customHeight="1" x14ac:dyDescent="0.2"/>
    <row r="44" spans="1:67" ht="15.75" customHeight="1" x14ac:dyDescent="0.2"/>
    <row r="45" spans="1:67" ht="15.75" customHeight="1" x14ac:dyDescent="0.2"/>
    <row r="46" spans="1:67" ht="15.75" customHeight="1" x14ac:dyDescent="0.2"/>
    <row r="47" spans="1:67" ht="15.75" customHeight="1" x14ac:dyDescent="0.2"/>
    <row r="48" spans="1:67"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86">
    <mergeCell ref="AH15:AH16"/>
    <mergeCell ref="AI15:AI16"/>
    <mergeCell ref="A41:AM41"/>
    <mergeCell ref="L14:R14"/>
    <mergeCell ref="S14:U14"/>
    <mergeCell ref="V14:X14"/>
    <mergeCell ref="Y14:AE14"/>
    <mergeCell ref="W15:W16"/>
    <mergeCell ref="X15:X16"/>
    <mergeCell ref="L15:N15"/>
    <mergeCell ref="O15:Q15"/>
    <mergeCell ref="R15:R16"/>
    <mergeCell ref="S15:S16"/>
    <mergeCell ref="T15:T16"/>
    <mergeCell ref="U15:U16"/>
    <mergeCell ref="V15:V16"/>
    <mergeCell ref="Y15:AA15"/>
    <mergeCell ref="AB15:AD15"/>
    <mergeCell ref="H7:K7"/>
    <mergeCell ref="I14:I16"/>
    <mergeCell ref="J14:J16"/>
    <mergeCell ref="K14:K16"/>
    <mergeCell ref="A39:A40"/>
    <mergeCell ref="A1:A5"/>
    <mergeCell ref="A7:A9"/>
    <mergeCell ref="C7:D7"/>
    <mergeCell ref="A11:A15"/>
    <mergeCell ref="C11:AM11"/>
    <mergeCell ref="I12:AM12"/>
    <mergeCell ref="AL13:AM13"/>
    <mergeCell ref="AJ15:AJ16"/>
    <mergeCell ref="AK15:AK16"/>
    <mergeCell ref="AF14:AH14"/>
    <mergeCell ref="AI14:AK14"/>
    <mergeCell ref="AL14:AL16"/>
    <mergeCell ref="AM14:AM16"/>
    <mergeCell ref="AE15:AE16"/>
    <mergeCell ref="AF15:AF16"/>
    <mergeCell ref="AG15:AG16"/>
    <mergeCell ref="I13:K13"/>
    <mergeCell ref="AN11:BG11"/>
    <mergeCell ref="BH11:BM11"/>
    <mergeCell ref="BN11:BO11"/>
    <mergeCell ref="AP12:BA12"/>
    <mergeCell ref="BB12:BG12"/>
    <mergeCell ref="BH12:BJ12"/>
    <mergeCell ref="BK12:BL12"/>
    <mergeCell ref="L13:X13"/>
    <mergeCell ref="Y13:AK13"/>
    <mergeCell ref="AQ14:AS15"/>
    <mergeCell ref="AT15:AV15"/>
    <mergeCell ref="BF13:BF15"/>
    <mergeCell ref="BG13:BG15"/>
    <mergeCell ref="BH13:BH15"/>
    <mergeCell ref="C12:E12"/>
    <mergeCell ref="F12:H12"/>
    <mergeCell ref="B11:B15"/>
    <mergeCell ref="C13:C15"/>
    <mergeCell ref="D13:D15"/>
    <mergeCell ref="E13:E15"/>
    <mergeCell ref="F13:F15"/>
    <mergeCell ref="G13:G15"/>
    <mergeCell ref="H13:H15"/>
    <mergeCell ref="AP41:BA41"/>
    <mergeCell ref="BB41:BG41"/>
    <mergeCell ref="BH41:BO41"/>
    <mergeCell ref="AP13:AS13"/>
    <mergeCell ref="AU13:BA13"/>
    <mergeCell ref="BB13:BC13"/>
    <mergeCell ref="BD13:BE13"/>
    <mergeCell ref="AN14:AP15"/>
    <mergeCell ref="AT14:AZ14"/>
    <mergeCell ref="BE14:BE15"/>
    <mergeCell ref="AW15:AY15"/>
    <mergeCell ref="BA14:BA15"/>
    <mergeCell ref="BB14:BB15"/>
    <mergeCell ref="BC14:BC15"/>
    <mergeCell ref="BD14:BD15"/>
    <mergeCell ref="AZ15:AZ16"/>
    <mergeCell ref="BN12:BN15"/>
    <mergeCell ref="BO12:BO15"/>
    <mergeCell ref="BI13:BI15"/>
    <mergeCell ref="BL13:BL15"/>
    <mergeCell ref="BJ13:BJ15"/>
    <mergeCell ref="BK13:BK15"/>
    <mergeCell ref="BM12:BM15"/>
  </mergeCells>
  <conditionalFormatting sqref="B39">
    <cfRule type="expression" dxfId="7" priority="2">
      <formula>COUNTUNIQUE($E$37,$H$37,$AM$37,$BM$37)=1</formula>
    </cfRule>
    <cfRule type="expression" dxfId="6" priority="7">
      <formula>COUNTUNIQUE($E$37,$H$37,$AM$37,$BM$37)&gt;1</formula>
    </cfRule>
  </conditionalFormatting>
  <conditionalFormatting sqref="B40">
    <cfRule type="expression" dxfId="5" priority="5">
      <formula>SUMPRODUCT(--(BB17:BG37&gt;1))=0</formula>
    </cfRule>
    <cfRule type="expression" dxfId="4" priority="6">
      <formula>SUMPRODUCT(--(BB17:BG37&gt;1))&gt;0</formula>
    </cfRule>
  </conditionalFormatting>
  <conditionalFormatting sqref="E37">
    <cfRule type="expression" dxfId="3" priority="8">
      <formula>COUNTUNIQUE($E$37,$H$37,$AM$37,$BM$37)&gt;1</formula>
    </cfRule>
  </conditionalFormatting>
  <conditionalFormatting sqref="H37:J37 BM37">
    <cfRule type="expression" dxfId="2" priority="1">
      <formula>COUNTUNIQUE($E$37,$H$37,$AM$37,$BM$37)&gt;1</formula>
    </cfRule>
  </conditionalFormatting>
  <conditionalFormatting sqref="BB17:BG37">
    <cfRule type="expression" dxfId="1" priority="3">
      <formula>AND(BB17&lt;&gt;"", BB17&gt;1)</formula>
    </cfRule>
    <cfRule type="expression" dxfId="0" priority="4">
      <formula>AND(BB17&lt;&gt;"", BB17&gt;=0, BB17&lt;=1)</formula>
    </cfRule>
  </conditionalFormatting>
  <pageMargins left="0.75" right="0.75" top="1" bottom="1" header="0" footer="0"/>
  <pageSetup paperSize="14" orientation="landscape"/>
  <colBreaks count="3" manualBreakCount="3">
    <brk id="67" man="1"/>
    <brk id="39" man="1"/>
    <brk id="41" man="1"/>
  </col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Quarter 1</vt:lpstr>
      <vt:lpstr>Quarter 2</vt:lpstr>
      <vt:lpstr>Quarter 3</vt:lpstr>
      <vt:lpstr>Quarter 4</vt:lpstr>
      <vt:lpstr>Summary</vt:lpstr>
      <vt:lpstr>(DRAFT MFT) Animal Bite and Rab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dc:creator>
  <cp:lastModifiedBy>lorajagmis07@outlook.com</cp:lastModifiedBy>
  <dcterms:created xsi:type="dcterms:W3CDTF">2026-03-08T01:49:58Z</dcterms:created>
  <dcterms:modified xsi:type="dcterms:W3CDTF">2026-03-18T00:48:49Z</dcterms:modified>
</cp:coreProperties>
</file>